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設定" sheetId="2" state="visible" r:id="rId2"/>
    <sheet name="野澤含機票" sheetId="3" state="visible" r:id="rId3"/>
    <sheet name="野澤不含機票" sheetId="4" state="visible" r:id="rId4"/>
    <sheet name="斑尾含機票" sheetId="5" state="visible" r:id="rId5"/>
    <sheet name="斑尾不含機票" sheetId="6" state="visible" r:id="rId6"/>
    <sheet name="龍平含機票" sheetId="7" state="visible" r:id="rId7"/>
    <sheet name="龍平不含機票" sheetId="8" state="visible" r:id="rId8"/>
    <sheet name="純課程" sheetId="9" state="visible" r:id="rId9"/>
    <sheet name="例外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1F3A4A"/>
      </patternFill>
    </fill>
    <fill>
      <patternFill patternType="solid">
        <fgColor rgb="00E8EE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wrapText="1"/>
    </xf>
    <xf numFmtId="3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2" fillId="3" borderId="0" applyAlignment="1" pivotButton="0" quotePrefix="0" xfId="0">
      <alignment horizontal="center" wrapText="1"/>
    </xf>
    <xf numFmtId="0" fontId="1" fillId="4" borderId="0" pivotButton="0" quotePrefix="0" xfId="0"/>
    <xf numFmtId="3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售價與成本總覽(台幣)</t>
        </is>
      </c>
    </row>
    <row r="2">
      <c r="A2" t="inlineStr">
        <is>
          <t>資料來源:原始大總表1016.xlsx。成本單價請到各分類分頁的黃色格子填寫,匯率與租借價格在「設定」。</t>
        </is>
      </c>
    </row>
    <row r="4">
      <c r="A4" s="2" t="inlineStr">
        <is>
          <t>分類</t>
        </is>
      </c>
      <c r="B4" s="2" t="inlineStr">
        <is>
          <t>團數</t>
        </is>
      </c>
      <c r="C4" s="2" t="inlineStr">
        <is>
          <t>人數</t>
        </is>
      </c>
      <c r="D4" s="2" t="inlineStr">
        <is>
          <t>計入收入 版一</t>
        </is>
      </c>
      <c r="E4" s="2" t="inlineStr">
        <is>
          <t>計入收入 版二</t>
        </is>
      </c>
      <c r="F4" s="2" t="inlineStr">
        <is>
          <t>總成本</t>
        </is>
      </c>
      <c r="G4" s="2" t="inlineStr">
        <is>
          <t>結果 版一</t>
        </is>
      </c>
      <c r="H4" s="2" t="inlineStr">
        <is>
          <t>結果 版二</t>
        </is>
      </c>
      <c r="I4" s="2" t="inlineStr">
        <is>
          <t>每人結果 版一</t>
        </is>
      </c>
      <c r="J4" s="2" t="inlineStr">
        <is>
          <t>每人結果 版二</t>
        </is>
      </c>
    </row>
    <row r="5">
      <c r="A5" t="inlineStr">
        <is>
          <t>野澤含機票</t>
        </is>
      </c>
      <c r="B5" s="3" t="n">
        <v>15</v>
      </c>
      <c r="C5" s="3">
        <f>'野澤含機票'!B2</f>
        <v/>
      </c>
      <c r="D5" s="3">
        <f>'野澤含機票'!B19</f>
        <v/>
      </c>
      <c r="E5" s="3">
        <f>'野澤含機票'!C19</f>
        <v/>
      </c>
      <c r="F5" s="3">
        <f>'野澤含機票'!B21</f>
        <v/>
      </c>
      <c r="G5" s="3">
        <f>'野澤含機票'!B23</f>
        <v/>
      </c>
      <c r="H5" s="3">
        <f>'野澤含機票'!C23</f>
        <v/>
      </c>
      <c r="I5" s="3">
        <f>IF(C5=0,0,G5/C5)</f>
        <v/>
      </c>
      <c r="J5" s="3">
        <f>IF(C5=0,0,H5/C5)</f>
        <v/>
      </c>
    </row>
    <row r="6">
      <c r="A6" t="inlineStr">
        <is>
          <t>野澤不含機票</t>
        </is>
      </c>
      <c r="B6" s="3" t="n">
        <v>69</v>
      </c>
      <c r="C6" s="3">
        <f>'野澤不含機票'!B2</f>
        <v/>
      </c>
      <c r="D6" s="3">
        <f>'野澤不含機票'!B18</f>
        <v/>
      </c>
      <c r="E6" s="3">
        <f>'野澤不含機票'!C18</f>
        <v/>
      </c>
      <c r="F6" s="3">
        <f>'野澤不含機票'!B20</f>
        <v/>
      </c>
      <c r="G6" s="3">
        <f>'野澤不含機票'!B22</f>
        <v/>
      </c>
      <c r="H6" s="3">
        <f>'野澤不含機票'!C22</f>
        <v/>
      </c>
      <c r="I6" s="3">
        <f>IF(C6=0,0,G6/C6)</f>
        <v/>
      </c>
      <c r="J6" s="3">
        <f>IF(C6=0,0,H6/C6)</f>
        <v/>
      </c>
    </row>
    <row r="7">
      <c r="A7" t="inlineStr">
        <is>
          <t>斑尾含機票</t>
        </is>
      </c>
      <c r="B7" s="3" t="n">
        <v>14</v>
      </c>
      <c r="C7" s="3">
        <f>'斑尾含機票'!B2</f>
        <v/>
      </c>
      <c r="D7" s="3">
        <f>'斑尾含機票'!B19</f>
        <v/>
      </c>
      <c r="E7" s="3">
        <f>'斑尾含機票'!C19</f>
        <v/>
      </c>
      <c r="F7" s="3">
        <f>'斑尾含機票'!B21</f>
        <v/>
      </c>
      <c r="G7" s="3">
        <f>'斑尾含機票'!B23</f>
        <v/>
      </c>
      <c r="H7" s="3">
        <f>'斑尾含機票'!C23</f>
        <v/>
      </c>
      <c r="I7" s="3">
        <f>IF(C7=0,0,G7/C7)</f>
        <v/>
      </c>
      <c r="J7" s="3">
        <f>IF(C7=0,0,H7/C7)</f>
        <v/>
      </c>
    </row>
    <row r="8">
      <c r="A8" t="inlineStr">
        <is>
          <t>斑尾不含機票</t>
        </is>
      </c>
      <c r="B8" s="3" t="n">
        <v>61</v>
      </c>
      <c r="C8" s="3">
        <f>'斑尾不含機票'!B2</f>
        <v/>
      </c>
      <c r="D8" s="3">
        <f>'斑尾不含機票'!B18</f>
        <v/>
      </c>
      <c r="E8" s="3">
        <f>'斑尾不含機票'!C18</f>
        <v/>
      </c>
      <c r="F8" s="3">
        <f>'斑尾不含機票'!B20</f>
        <v/>
      </c>
      <c r="G8" s="3">
        <f>'斑尾不含機票'!B22</f>
        <v/>
      </c>
      <c r="H8" s="3">
        <f>'斑尾不含機票'!C22</f>
        <v/>
      </c>
      <c r="I8" s="3">
        <f>IF(C8=0,0,G8/C8)</f>
        <v/>
      </c>
      <c r="J8" s="3">
        <f>IF(C8=0,0,H8/C8)</f>
        <v/>
      </c>
    </row>
    <row r="9">
      <c r="A9" t="inlineStr">
        <is>
          <t>龍平含機票</t>
        </is>
      </c>
      <c r="B9" s="3" t="n">
        <v>23</v>
      </c>
      <c r="C9" s="3">
        <f>'龍平含機票'!B2</f>
        <v/>
      </c>
      <c r="D9" s="3">
        <f>'龍平含機票'!B18</f>
        <v/>
      </c>
      <c r="E9" s="3">
        <f>'龍平含機票'!C18</f>
        <v/>
      </c>
      <c r="F9" s="3">
        <f>'龍平含機票'!B20</f>
        <v/>
      </c>
      <c r="G9" s="3">
        <f>'龍平含機票'!B22</f>
        <v/>
      </c>
      <c r="H9" s="3">
        <f>'龍平含機票'!C22</f>
        <v/>
      </c>
      <c r="I9" s="3">
        <f>IF(C9=0,0,G9/C9)</f>
        <v/>
      </c>
      <c r="J9" s="3">
        <f>IF(C9=0,0,H9/C9)</f>
        <v/>
      </c>
    </row>
    <row r="10">
      <c r="A10" t="inlineStr">
        <is>
          <t>龍平不含機票</t>
        </is>
      </c>
      <c r="B10" s="3" t="n">
        <v>72</v>
      </c>
      <c r="C10" s="3">
        <f>'龍平不含機票'!B2</f>
        <v/>
      </c>
      <c r="D10" s="3">
        <f>'龍平不含機票'!B17</f>
        <v/>
      </c>
      <c r="E10" s="3">
        <f>'龍平不含機票'!C17</f>
        <v/>
      </c>
      <c r="F10" s="3">
        <f>'龍平不含機票'!B19</f>
        <v/>
      </c>
      <c r="G10" s="3">
        <f>'龍平不含機票'!B21</f>
        <v/>
      </c>
      <c r="H10" s="3">
        <f>'龍平不含機票'!C21</f>
        <v/>
      </c>
      <c r="I10" s="3">
        <f>IF(C10=0,0,G10/C10)</f>
        <v/>
      </c>
      <c r="J10" s="3">
        <f>IF(C10=0,0,H10/C10)</f>
        <v/>
      </c>
    </row>
    <row r="11">
      <c r="A11" t="inlineStr">
        <is>
          <t>純課程</t>
        </is>
      </c>
      <c r="B11" s="3" t="n">
        <v>144</v>
      </c>
      <c r="C11" s="3">
        <f>'純課程'!B7</f>
        <v/>
      </c>
      <c r="D11" s="3">
        <f>'純課程'!C7-'純課程'!D7</f>
        <v/>
      </c>
      <c r="E11" s="3">
        <f>'純課程'!C7</f>
        <v/>
      </c>
      <c r="F11" s="3" t="n">
        <v>0</v>
      </c>
      <c r="G11" s="3">
        <f>'純課程'!E7</f>
        <v/>
      </c>
      <c r="H11" s="3">
        <f>'純課程'!F7</f>
        <v/>
      </c>
      <c r="I11" s="3">
        <f>IF(C11=0,0,G11/C11)</f>
        <v/>
      </c>
      <c r="J11" s="3">
        <f>IF(C11=0,0,H11/C11)</f>
        <v/>
      </c>
    </row>
    <row r="12">
      <c r="A12" s="4" t="inlineStr">
        <is>
          <t>合計</t>
        </is>
      </c>
      <c r="B12" s="3">
        <f>SUM(B5:B11)</f>
        <v/>
      </c>
      <c r="C12" s="3">
        <f>SUM(C5:C11)</f>
        <v/>
      </c>
      <c r="D12" s="3">
        <f>SUM(D5:D11)</f>
        <v/>
      </c>
      <c r="E12" s="3">
        <f>SUM(E5:E11)</f>
        <v/>
      </c>
      <c r="F12" s="3">
        <f>SUM(F5:F11)</f>
        <v/>
      </c>
      <c r="G12" s="3">
        <f>SUM(G5:G11)</f>
        <v/>
      </c>
      <c r="H12" s="3">
        <f>SUM(H5:H11)</f>
        <v/>
      </c>
      <c r="I12" s="3">
        <f>IF(C12=0,0,G12/C12)</f>
        <v/>
      </c>
      <c r="J12" s="3">
        <f>IF(C12=0,0,H12/C12)</f>
        <v/>
      </c>
    </row>
    <row r="14">
      <c r="A14" t="inlineStr">
        <is>
          <t>例外(不計算)共 42 列、4 團,見「例外」分頁。純課程租借天數找不到 OP備註的有 30 人(以1日計)。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</cols>
  <sheetData>
    <row r="1">
      <c r="A1" s="4" t="inlineStr">
        <is>
          <t>設定(黃色格子可修改)</t>
        </is>
      </c>
    </row>
    <row r="2">
      <c r="A2" t="inlineStr">
        <is>
          <t>匯率 日幣→台幣</t>
        </is>
      </c>
      <c r="B2" s="5" t="n">
        <v>0.21</v>
      </c>
    </row>
    <row r="3">
      <c r="A3" t="inlineStr">
        <is>
          <t>刷卡手續費係數</t>
        </is>
      </c>
      <c r="B3" s="5" t="n">
        <v>0.9815</v>
      </c>
    </row>
    <row r="4">
      <c r="A4" t="inlineStr">
        <is>
          <t>稅率</t>
        </is>
      </c>
      <c r="B4" s="5" t="n">
        <v>0.05</v>
      </c>
    </row>
    <row r="5">
      <c r="A5" t="inlineStr">
        <is>
          <t>匯率 韓幣→台幣</t>
        </is>
      </c>
      <c r="B5" s="5" t="n">
        <v>0.024</v>
      </c>
    </row>
    <row r="6">
      <c r="A6" t="inlineStr">
        <is>
          <t>租借 手套</t>
        </is>
      </c>
      <c r="B6" s="5" t="n">
        <v>400</v>
      </c>
    </row>
    <row r="7">
      <c r="A7" t="inlineStr">
        <is>
          <t>租借 雪衣雪褲</t>
        </is>
      </c>
      <c r="B7" s="5" t="n">
        <v>1000</v>
      </c>
    </row>
    <row r="8">
      <c r="A8" t="inlineStr">
        <is>
          <t>租借 護臀</t>
        </is>
      </c>
      <c r="B8" s="5" t="n">
        <v>200</v>
      </c>
    </row>
    <row r="9">
      <c r="A9" t="inlineStr">
        <is>
          <t>租借 護膝</t>
        </is>
      </c>
      <c r="B9" s="5" t="n">
        <v>200</v>
      </c>
    </row>
    <row r="11">
      <c r="A11" t="inlineStr">
        <is>
          <t>租借單價(台幣):手套 每人一次;雪衣雪褲、護臀、護膝 每人每日。全套兩天=400+2×(1000+200+200)=3,200。</t>
        </is>
      </c>
    </row>
    <row r="12">
      <c r="A12" t="inlineStr">
        <is>
          <t>團客租借天數 = 雪票天數;純課程租借天數 = OP備註「共N日」,找不到時以1日計。</t>
        </is>
      </c>
    </row>
    <row r="14">
      <c r="A14" s="4" t="inlineStr">
        <is>
          <t>成本單價(野澤、斑尾為日幣;龍平為韓幣)— 填一次,含機票/不含機票的分頁都會引用</t>
        </is>
      </c>
    </row>
    <row r="15">
      <c r="A15" s="2" t="inlineStr">
        <is>
          <t>區域</t>
        </is>
      </c>
      <c r="B15" s="2" t="inlineStr">
        <is>
          <t>項目</t>
        </is>
      </c>
      <c r="C15" s="2" t="inlineStr">
        <is>
          <t>單價(日幣/龍平為韓幣)</t>
        </is>
      </c>
    </row>
    <row r="16">
      <c r="A16" t="inlineStr">
        <is>
          <t>野澤</t>
        </is>
      </c>
      <c r="B16" t="inlineStr">
        <is>
          <t>野澤住宿(1泊)</t>
        </is>
      </c>
      <c r="C16" s="5" t="n"/>
    </row>
    <row r="17">
      <c r="A17" t="inlineStr">
        <is>
          <t>野澤</t>
        </is>
      </c>
      <c r="B17" t="inlineStr">
        <is>
          <t>東京住宿(1泊)</t>
        </is>
      </c>
      <c r="C17" s="5" t="n"/>
    </row>
    <row r="18">
      <c r="A18" t="inlineStr">
        <is>
          <t>野澤</t>
        </is>
      </c>
      <c r="B18" t="inlineStr">
        <is>
          <t>交通 機場&gt;雪場</t>
        </is>
      </c>
      <c r="C18" s="5" t="n"/>
    </row>
    <row r="19">
      <c r="A19" t="inlineStr">
        <is>
          <t>野澤</t>
        </is>
      </c>
      <c r="B19" t="inlineStr">
        <is>
          <t>交通 雪場&gt;市區</t>
        </is>
      </c>
      <c r="C19" s="5" t="n"/>
    </row>
    <row r="20">
      <c r="A20" t="inlineStr">
        <is>
          <t>野澤</t>
        </is>
      </c>
      <c r="B20" t="inlineStr">
        <is>
          <t>雪票(1日)</t>
        </is>
      </c>
      <c r="C20" s="5" t="n"/>
    </row>
    <row r="21">
      <c r="A21" t="inlineStr">
        <is>
          <t>野澤</t>
        </is>
      </c>
      <c r="B21" t="inlineStr">
        <is>
          <t>雪靴(1日)</t>
        </is>
      </c>
      <c r="C21" s="5" t="n"/>
    </row>
    <row r="22">
      <c r="A22" t="inlineStr">
        <is>
          <t>野澤</t>
        </is>
      </c>
      <c r="B22" t="inlineStr">
        <is>
          <t>下山巴士</t>
        </is>
      </c>
      <c r="C22" s="5" t="n"/>
    </row>
    <row r="23">
      <c r="A23" t="inlineStr">
        <is>
          <t>野澤</t>
        </is>
      </c>
      <c r="B23" t="inlineStr">
        <is>
          <t>機票</t>
        </is>
      </c>
      <c r="C23" s="5" t="n"/>
    </row>
    <row r="24">
      <c r="A24" t="inlineStr">
        <is>
          <t>野澤</t>
        </is>
      </c>
      <c r="B24" t="inlineStr">
        <is>
          <t>保險</t>
        </is>
      </c>
      <c r="C24" s="5" t="n"/>
    </row>
    <row r="26">
      <c r="A26" t="inlineStr">
        <is>
          <t>斑尾</t>
        </is>
      </c>
      <c r="B26" t="inlineStr">
        <is>
          <t>斑尾住宿(1泊)</t>
        </is>
      </c>
      <c r="C26" s="5" t="n"/>
    </row>
    <row r="27">
      <c r="A27" t="inlineStr">
        <is>
          <t>斑尾</t>
        </is>
      </c>
      <c r="B27" t="inlineStr">
        <is>
          <t>東京住宿(1泊)</t>
        </is>
      </c>
      <c r="C27" s="5" t="n"/>
    </row>
    <row r="28">
      <c r="A28" t="inlineStr">
        <is>
          <t>斑尾</t>
        </is>
      </c>
      <c r="B28" t="inlineStr">
        <is>
          <t>交通 機場&gt;雪場</t>
        </is>
      </c>
      <c r="C28" s="5" t="n"/>
    </row>
    <row r="29">
      <c r="A29" t="inlineStr">
        <is>
          <t>斑尾</t>
        </is>
      </c>
      <c r="B29" t="inlineStr">
        <is>
          <t>交通 雪場&gt;市區</t>
        </is>
      </c>
      <c r="C29" s="5" t="n"/>
    </row>
    <row r="30">
      <c r="A30" t="inlineStr">
        <is>
          <t>斑尾</t>
        </is>
      </c>
      <c r="B30" t="inlineStr">
        <is>
          <t>雪票(1日)</t>
        </is>
      </c>
      <c r="C30" s="5" t="n"/>
    </row>
    <row r="31">
      <c r="A31" t="inlineStr">
        <is>
          <t>斑尾</t>
        </is>
      </c>
      <c r="B31" t="inlineStr">
        <is>
          <t>三點set</t>
        </is>
      </c>
      <c r="C31" s="5" t="n"/>
    </row>
    <row r="32">
      <c r="A32" t="inlineStr">
        <is>
          <t>斑尾</t>
        </is>
      </c>
      <c r="B32" t="inlineStr">
        <is>
          <t>下山接駁</t>
        </is>
      </c>
      <c r="C32" s="5" t="n"/>
    </row>
    <row r="33">
      <c r="A33" t="inlineStr">
        <is>
          <t>斑尾</t>
        </is>
      </c>
      <c r="B33" t="inlineStr">
        <is>
          <t>機票</t>
        </is>
      </c>
      <c r="C33" s="5" t="n"/>
    </row>
    <row r="34">
      <c r="A34" t="inlineStr">
        <is>
          <t>斑尾</t>
        </is>
      </c>
      <c r="B34" t="inlineStr">
        <is>
          <t>保險</t>
        </is>
      </c>
      <c r="C34" s="5" t="n"/>
    </row>
    <row r="36">
      <c r="A36" t="inlineStr">
        <is>
          <t>龍平</t>
        </is>
      </c>
      <c r="B36" t="inlineStr">
        <is>
          <t>龍平住宿+早餐</t>
        </is>
      </c>
      <c r="C36" s="5" t="n"/>
    </row>
    <row r="37">
      <c r="A37" t="inlineStr">
        <is>
          <t>龍平</t>
        </is>
      </c>
      <c r="B37" t="inlineStr">
        <is>
          <t>首爾住宿+早餐</t>
        </is>
      </c>
      <c r="C37" s="5" t="n"/>
    </row>
    <row r="38">
      <c r="A38" t="inlineStr">
        <is>
          <t>龍平</t>
        </is>
      </c>
      <c r="B38" t="inlineStr">
        <is>
          <t>交通 機場&gt;雪場</t>
        </is>
      </c>
      <c r="C38" s="5" t="n"/>
    </row>
    <row r="39">
      <c r="A39" t="inlineStr">
        <is>
          <t>龍平</t>
        </is>
      </c>
      <c r="B39" t="inlineStr">
        <is>
          <t>交通 雪場&gt;市區</t>
        </is>
      </c>
      <c r="C39" s="5" t="n"/>
    </row>
    <row r="40">
      <c r="A40" t="inlineStr">
        <is>
          <t>龍平</t>
        </is>
      </c>
      <c r="B40" t="inlineStr">
        <is>
          <t>保護費</t>
        </is>
      </c>
      <c r="C40" s="5" t="n"/>
    </row>
    <row r="41">
      <c r="A41" t="inlineStr">
        <is>
          <t>龍平</t>
        </is>
      </c>
      <c r="B41" t="inlineStr">
        <is>
          <t>三點set+雪票</t>
        </is>
      </c>
      <c r="C41" s="5" t="n"/>
    </row>
    <row r="42">
      <c r="A42" t="inlineStr">
        <is>
          <t>龍平</t>
        </is>
      </c>
      <c r="B42" t="inlineStr">
        <is>
          <t>機票</t>
        </is>
      </c>
      <c r="C42" s="5" t="n"/>
    </row>
    <row r="43">
      <c r="A43" t="inlineStr">
        <is>
          <t>龍平</t>
        </is>
      </c>
      <c r="B43" t="inlineStr">
        <is>
          <t>保險</t>
        </is>
      </c>
      <c r="C43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野澤含機票(團號 含A)</t>
        </is>
      </c>
    </row>
    <row r="2">
      <c r="A2" t="inlineStr">
        <is>
          <t>人數</t>
        </is>
      </c>
      <c r="B2">
        <f>SUM(C33:C47)</f>
        <v/>
      </c>
    </row>
    <row r="4">
      <c r="A4" s="2" t="inlineStr">
        <is>
          <t>項目</t>
        </is>
      </c>
      <c r="B4" s="2" t="inlineStr">
        <is>
          <t>單價(日幣,在設定分頁填)</t>
        </is>
      </c>
      <c r="C4" s="2" t="inlineStr">
        <is>
          <t>數量</t>
        </is>
      </c>
      <c r="D4" s="2" t="inlineStr">
        <is>
          <t>日幣總價</t>
        </is>
      </c>
      <c r="E4" s="2" t="inlineStr">
        <is>
          <t>台幣總價</t>
        </is>
      </c>
      <c r="F4" s="2" t="inlineStr">
        <is>
          <t>每人數量</t>
        </is>
      </c>
      <c r="G4" s="2" t="inlineStr">
        <is>
          <t>每人台幣</t>
        </is>
      </c>
      <c r="H4" s="2" t="inlineStr">
        <is>
          <t>數量算法</t>
        </is>
      </c>
    </row>
    <row r="5">
      <c r="A5" t="inlineStr">
        <is>
          <t>野澤住宿(1泊)</t>
        </is>
      </c>
      <c r="B5" s="3">
        <f>設定!$C$16</f>
        <v/>
      </c>
      <c r="C5" s="3">
        <f>SUM(F33:F47)</f>
        <v/>
      </c>
      <c r="D5" s="3">
        <f>B5*C5</f>
        <v/>
      </c>
      <c r="E5" s="3">
        <f>D5*設定!$B$2</f>
        <v/>
      </c>
      <c r="F5" s="3">
        <f>IF($B$2=0,0,C5/$B$2)</f>
        <v/>
      </c>
      <c r="G5" s="3">
        <f>IF($B$2=0,0,E5/$B$2)</f>
        <v/>
      </c>
      <c r="H5" t="inlineStr">
        <is>
          <t>標準3泊 + 續滑天數(保留市區住宿者不加)</t>
        </is>
      </c>
    </row>
    <row r="6">
      <c r="A6" t="inlineStr">
        <is>
          <t>東京住宿(1泊)</t>
        </is>
      </c>
      <c r="B6" s="3">
        <f>設定!$C$17</f>
        <v/>
      </c>
      <c r="C6" s="3">
        <f>SUM(G33:G47)</f>
        <v/>
      </c>
      <c r="D6" s="3">
        <f>B6*C6</f>
        <v/>
      </c>
      <c r="E6" s="3">
        <f>D6*設定!$B$2</f>
        <v/>
      </c>
      <c r="F6" s="3">
        <f>IF($B$2=0,0,C6/$B$2)</f>
        <v/>
      </c>
      <c r="G6" s="3">
        <f>IF($B$2=0,0,E6/$B$2)</f>
        <v/>
      </c>
      <c r="H6" t="inlineStr">
        <is>
          <t>標準1泊 + 市區續住;取消者標準為0</t>
        </is>
      </c>
    </row>
    <row r="7">
      <c r="A7" t="inlineStr">
        <is>
          <t>交通 機場&gt;雪場</t>
        </is>
      </c>
      <c r="B7" s="3">
        <f>設定!$C$18</f>
        <v/>
      </c>
      <c r="C7" s="3">
        <f>SUM(H33:H47)</f>
        <v/>
      </c>
      <c r="D7" s="3">
        <f>B7*C7</f>
        <v/>
      </c>
      <c r="E7" s="3">
        <f>D7*設定!$B$2</f>
        <v/>
      </c>
      <c r="F7" s="3">
        <f>IF($B$2=0,0,C7/$B$2)</f>
        <v/>
      </c>
      <c r="G7" s="3">
        <f>IF($B$2=0,0,E7/$B$2)</f>
        <v/>
      </c>
      <c r="H7" t="inlineStr">
        <is>
          <t>每人1</t>
        </is>
      </c>
    </row>
    <row r="8">
      <c r="A8" t="inlineStr">
        <is>
          <t>交通 雪場&gt;市區</t>
        </is>
      </c>
      <c r="B8" s="3">
        <f>設定!$C$19</f>
        <v/>
      </c>
      <c r="C8" s="3">
        <f>SUM(I33:I47)</f>
        <v/>
      </c>
      <c r="D8" s="3">
        <f>B8*C8</f>
        <v/>
      </c>
      <c r="E8" s="3">
        <f>D8*設定!$B$2</f>
        <v/>
      </c>
      <c r="F8" s="3">
        <f>IF($B$2=0,0,C8/$B$2)</f>
        <v/>
      </c>
      <c r="G8" s="3">
        <f>IF($B$2=0,0,E8/$B$2)</f>
        <v/>
      </c>
      <c r="H8" t="inlineStr">
        <is>
          <t>每人1</t>
        </is>
      </c>
    </row>
    <row r="9">
      <c r="A9" t="inlineStr">
        <is>
          <t>雪票(1日)</t>
        </is>
      </c>
      <c r="B9" s="3">
        <f>設定!$C$20</f>
        <v/>
      </c>
      <c r="C9" s="3">
        <f>SUM(J33:J47)</f>
        <v/>
      </c>
      <c r="D9" s="3">
        <f>B9*C9</f>
        <v/>
      </c>
      <c r="E9" s="3">
        <f>D9*設定!$B$2</f>
        <v/>
      </c>
      <c r="F9" s="3">
        <f>IF($B$2=0,0,C9/$B$2)</f>
        <v/>
      </c>
      <c r="G9" s="3">
        <f>IF($B$2=0,0,E9/$B$2)</f>
        <v/>
      </c>
      <c r="H9" t="inlineStr">
        <is>
          <t>標準2日 + 續滑天數</t>
        </is>
      </c>
    </row>
    <row r="10">
      <c r="A10" t="inlineStr">
        <is>
          <t>雪靴(1日)</t>
        </is>
      </c>
      <c r="B10" s="3">
        <f>設定!$C$21</f>
        <v/>
      </c>
      <c r="C10" s="3">
        <f>SUM(K33:K47)</f>
        <v/>
      </c>
      <c r="D10" s="3">
        <f>B10*C10</f>
        <v/>
      </c>
      <c r="E10" s="3">
        <f>D10*設定!$B$2</f>
        <v/>
      </c>
      <c r="F10" s="3">
        <f>IF($B$2=0,0,C10/$B$2)</f>
        <v/>
      </c>
      <c r="G10" s="3">
        <f>IF($B$2=0,0,E10/$B$2)</f>
        <v/>
      </c>
      <c r="H10" t="inlineStr">
        <is>
          <t>標準2日 + 續滑天數</t>
        </is>
      </c>
    </row>
    <row r="11">
      <c r="A11" t="inlineStr">
        <is>
          <t>下山巴士</t>
        </is>
      </c>
      <c r="B11" s="3">
        <f>設定!$C$22</f>
        <v/>
      </c>
      <c r="C11" s="3">
        <f>SUM(L33:L47)</f>
        <v/>
      </c>
      <c r="D11" s="3">
        <f>B11*C11</f>
        <v/>
      </c>
      <c r="E11" s="3">
        <f>D11*設定!$B$2</f>
        <v/>
      </c>
      <c r="F11" s="3">
        <f>IF($B$2=0,0,C11/$B$2)</f>
        <v/>
      </c>
      <c r="G11" s="3">
        <f>IF($B$2=0,0,E11/$B$2)</f>
        <v/>
      </c>
      <c r="H11" t="inlineStr">
        <is>
          <t>每人1</t>
        </is>
      </c>
    </row>
    <row r="12">
      <c r="A12" t="inlineStr">
        <is>
          <t>機票</t>
        </is>
      </c>
      <c r="B12" s="3">
        <f>設定!$C$23</f>
        <v/>
      </c>
      <c r="C12" s="3">
        <f>SUM(M33:M47)</f>
        <v/>
      </c>
      <c r="D12" s="3">
        <f>B12*C12</f>
        <v/>
      </c>
      <c r="E12" s="3">
        <f>D12*設定!$B$2</f>
        <v/>
      </c>
      <c r="F12" s="3">
        <f>IF($B$2=0,0,C12/$B$2)</f>
        <v/>
      </c>
      <c r="G12" s="3">
        <f>IF($B$2=0,0,E12/$B$2)</f>
        <v/>
      </c>
      <c r="H12" t="inlineStr">
        <is>
          <t>每人1</t>
        </is>
      </c>
    </row>
    <row r="13">
      <c r="A13" t="inlineStr">
        <is>
          <t>保險</t>
        </is>
      </c>
      <c r="B13" s="3">
        <f>設定!$C$24</f>
        <v/>
      </c>
      <c r="C13" s="3">
        <f>SUM(N33:N47)</f>
        <v/>
      </c>
      <c r="D13" s="3">
        <f>B13*C13</f>
        <v/>
      </c>
      <c r="E13" s="3">
        <f>D13*設定!$B$2</f>
        <v/>
      </c>
      <c r="F13" s="3">
        <f>IF($B$2=0,0,C13/$B$2)</f>
        <v/>
      </c>
      <c r="G13" s="3">
        <f>IF($B$2=0,0,E13/$B$2)</f>
        <v/>
      </c>
      <c r="H13" t="inlineStr">
        <is>
          <t>每人1</t>
        </is>
      </c>
    </row>
    <row r="14">
      <c r="A14" s="4" t="inlineStr">
        <is>
          <t>總成本</t>
        </is>
      </c>
      <c r="B14" s="3" t="n"/>
      <c r="C14" s="3" t="n"/>
      <c r="D14" s="3">
        <f>SUM(D5:D13)</f>
        <v/>
      </c>
      <c r="E14" s="3">
        <f>SUM(E5:E13)</f>
        <v/>
      </c>
      <c r="F14" s="3" t="n"/>
      <c r="G14" s="3">
        <f>SUM(G5:G13)</f>
        <v/>
      </c>
    </row>
    <row r="15">
      <c r="B15" s="3" t="n"/>
      <c r="C15" s="3" t="n"/>
      <c r="D15" s="3" t="n"/>
      <c r="E15" s="3" t="n"/>
      <c r="F15" s="3" t="n"/>
      <c r="G15" s="3" t="n"/>
    </row>
    <row r="16">
      <c r="A16" s="2" t="inlineStr">
        <is>
          <t>結果(台幣)</t>
        </is>
      </c>
      <c r="B16" s="6" t="inlineStr">
        <is>
          <t>版本一(不計租借收入)</t>
        </is>
      </c>
      <c r="C16" s="6" t="inlineStr">
        <is>
          <t>版本二(含租借收入)</t>
        </is>
      </c>
      <c r="D16" s="3" t="n"/>
      <c r="E16" s="3" t="n"/>
      <c r="F16" s="3" t="n"/>
      <c r="G16" s="3" t="n"/>
    </row>
    <row r="17">
      <c r="A17" t="inlineStr">
        <is>
          <t>總收入(原始團費)</t>
        </is>
      </c>
      <c r="B17" s="3">
        <f>SUM(D33:D47)</f>
        <v/>
      </c>
      <c r="C17" s="3">
        <f>SUM(D33:D47)</f>
        <v/>
      </c>
      <c r="D17" s="3" t="n"/>
      <c r="E17" s="3" t="n"/>
      <c r="F17" s="3" t="n"/>
      <c r="G17" s="3" t="n"/>
    </row>
    <row r="18">
      <c r="A18" t="inlineStr">
        <is>
          <t>租借收入(依租借欄位估算)</t>
        </is>
      </c>
      <c r="B18" s="3">
        <f>SUM(E33:E47)</f>
        <v/>
      </c>
      <c r="C18" s="3">
        <f>SUM(E33:E47)</f>
        <v/>
      </c>
      <c r="D18" s="3" t="n"/>
      <c r="E18" s="3" t="n"/>
      <c r="F18" s="3" t="n"/>
      <c r="G18" s="3" t="n"/>
    </row>
    <row r="19">
      <c r="A19" t="inlineStr">
        <is>
          <t>計入收入</t>
        </is>
      </c>
      <c r="B19" s="3">
        <f>B17-B18</f>
        <v/>
      </c>
      <c r="C19" s="3">
        <f>C17</f>
        <v/>
      </c>
      <c r="D19" s="3" t="n"/>
      <c r="E19" s="3" t="n"/>
      <c r="F19" s="3" t="n"/>
      <c r="G19" s="3" t="n"/>
    </row>
    <row r="20">
      <c r="A20" t="inlineStr">
        <is>
          <t>刷卡後收入(×係數)</t>
        </is>
      </c>
      <c r="B20" s="3">
        <f>B19*設定!$B$3</f>
        <v/>
      </c>
      <c r="C20" s="3">
        <f>C19*設定!$B$3</f>
        <v/>
      </c>
      <c r="D20" s="3" t="n"/>
      <c r="E20" s="3" t="n"/>
      <c r="F20" s="3" t="n"/>
      <c r="G20" s="3" t="n"/>
    </row>
    <row r="21">
      <c r="A21" t="inlineStr">
        <is>
          <t>總成本</t>
        </is>
      </c>
      <c r="B21" s="3">
        <f>$E$14</f>
        <v/>
      </c>
      <c r="C21" s="3">
        <f>$E$14</f>
        <v/>
      </c>
      <c r="D21" s="3" t="n"/>
      <c r="E21" s="3" t="n"/>
      <c r="F21" s="3" t="n"/>
      <c r="G21" s="3" t="n"/>
    </row>
    <row r="22">
      <c r="A22" t="inlineStr">
        <is>
          <t>稅 (計入收入−總成本)×稅率</t>
        </is>
      </c>
      <c r="B22" s="3">
        <f>(B19-B21)*設定!$B$4</f>
        <v/>
      </c>
      <c r="C22" s="3">
        <f>(C19-C21)*設定!$B$4</f>
        <v/>
      </c>
      <c r="D22" s="3" t="n"/>
      <c r="E22" s="3" t="n"/>
      <c r="F22" s="3" t="n"/>
      <c r="G22" s="3" t="n"/>
    </row>
    <row r="23">
      <c r="A23" s="7" t="inlineStr">
        <is>
          <t>最後結果</t>
        </is>
      </c>
      <c r="B23" s="8">
        <f>B20-B21-B22</f>
        <v/>
      </c>
      <c r="C23" s="8">
        <f>C20-C21-C22</f>
        <v/>
      </c>
      <c r="D23" s="3" t="n"/>
      <c r="E23" s="3" t="n"/>
      <c r="F23" s="3" t="n"/>
      <c r="G23" s="3" t="n"/>
    </row>
    <row r="24">
      <c r="A24" t="inlineStr">
        <is>
          <t>每人 計入收入</t>
        </is>
      </c>
      <c r="B24" s="3">
        <f>IF($B$2=0,0,B19/$B$2)</f>
        <v/>
      </c>
      <c r="C24" s="3">
        <f>IF($B$2=0,0,C19/$B$2)</f>
        <v/>
      </c>
      <c r="D24" s="3" t="n"/>
      <c r="E24" s="3" t="n"/>
      <c r="F24" s="3" t="n"/>
      <c r="G24" s="3" t="n"/>
    </row>
    <row r="25">
      <c r="A25" t="inlineStr">
        <is>
          <t>每人 總成本</t>
        </is>
      </c>
      <c r="B25" s="3">
        <f>IF($B$2=0,0,B21/$B$2)</f>
        <v/>
      </c>
      <c r="C25" s="3">
        <f>IF($B$2=0,0,C21/$B$2)</f>
        <v/>
      </c>
      <c r="D25" s="3" t="n"/>
      <c r="E25" s="3" t="n"/>
      <c r="F25" s="3" t="n"/>
      <c r="G25" s="3" t="n"/>
    </row>
    <row r="26">
      <c r="A26" t="inlineStr">
        <is>
          <t>每人 結果</t>
        </is>
      </c>
      <c r="B26" s="3">
        <f>IF($B$2=0,0,B23/$B$2)</f>
        <v/>
      </c>
      <c r="C26" s="3">
        <f>IF($B$2=0,0,C23/$B$2)</f>
        <v/>
      </c>
      <c r="D26" s="3" t="n"/>
      <c r="E26" s="3" t="n"/>
      <c r="F26" s="3" t="n"/>
      <c r="G26" s="3" t="n"/>
    </row>
    <row r="27">
      <c r="B27" s="3" t="n"/>
      <c r="C27" s="3" t="n"/>
      <c r="D27" s="3" t="n"/>
      <c r="E27" s="3" t="n"/>
      <c r="F27" s="3" t="n"/>
      <c r="G27" s="3" t="n"/>
    </row>
    <row r="31">
      <c r="A31" s="4" t="inlineStr">
        <is>
          <t>團別明細(數量來自原始資料;成本用上方單價計算)</t>
        </is>
      </c>
    </row>
    <row r="32">
      <c r="A32" s="2" t="inlineStr">
        <is>
          <t>團號</t>
        </is>
      </c>
      <c r="B32" s="2" t="inlineStr">
        <is>
          <t>出發日</t>
        </is>
      </c>
      <c r="C32" s="2" t="inlineStr">
        <is>
          <t>人數</t>
        </is>
      </c>
      <c r="D32" s="2" t="inlineStr">
        <is>
          <t>總收入</t>
        </is>
      </c>
      <c r="E32" s="2" t="inlineStr">
        <is>
          <t>租借收入(估)</t>
        </is>
      </c>
      <c r="F32" s="2" t="inlineStr">
        <is>
          <t>野澤住宿(1泊)</t>
        </is>
      </c>
      <c r="G32" s="2" t="inlineStr">
        <is>
          <t>東京住宿(1泊)</t>
        </is>
      </c>
      <c r="H32" s="2" t="inlineStr">
        <is>
          <t>交通 機場&gt;雪場</t>
        </is>
      </c>
      <c r="I32" s="2" t="inlineStr">
        <is>
          <t>交通 雪場&gt;市區</t>
        </is>
      </c>
      <c r="J32" s="2" t="inlineStr">
        <is>
          <t>雪票(1日)</t>
        </is>
      </c>
      <c r="K32" s="2" t="inlineStr">
        <is>
          <t>雪靴(1日)</t>
        </is>
      </c>
      <c r="L32" s="2" t="inlineStr">
        <is>
          <t>下山巴士</t>
        </is>
      </c>
      <c r="M32" s="2" t="inlineStr">
        <is>
          <t>機票</t>
        </is>
      </c>
      <c r="N32" s="2" t="inlineStr">
        <is>
          <t>保險</t>
        </is>
      </c>
      <c r="O32" s="2" t="inlineStr">
        <is>
          <t>日幣成本</t>
        </is>
      </c>
      <c r="P32" s="2" t="inlineStr">
        <is>
          <t>台幣成本</t>
        </is>
      </c>
      <c r="Q32" s="2" t="inlineStr">
        <is>
          <t>版本一結果</t>
        </is>
      </c>
      <c r="R32" s="2" t="inlineStr">
        <is>
          <t>版本二結果</t>
        </is>
      </c>
      <c r="S32" s="2" t="inlineStr">
        <is>
          <t>每人 版本一</t>
        </is>
      </c>
      <c r="T32" s="2" t="inlineStr">
        <is>
          <t>每人 版本二</t>
        </is>
      </c>
    </row>
    <row r="33">
      <c r="A33" t="inlineStr">
        <is>
          <t>S4-J-NTA261218A</t>
        </is>
      </c>
      <c r="B33" t="inlineStr">
        <is>
          <t>2026/12/18</t>
        </is>
      </c>
      <c r="C33" t="n">
        <v>4</v>
      </c>
      <c r="D33" s="3" t="n">
        <v>283706</v>
      </c>
      <c r="E33" s="3" t="n">
        <v>12800</v>
      </c>
      <c r="F33" s="3" t="n">
        <v>12</v>
      </c>
      <c r="G33" s="3" t="n">
        <v>4</v>
      </c>
      <c r="H33" s="3" t="n">
        <v>4</v>
      </c>
      <c r="I33" s="3" t="n">
        <v>4</v>
      </c>
      <c r="J33" s="3" t="n">
        <v>8</v>
      </c>
      <c r="K33" s="3" t="n">
        <v>8</v>
      </c>
      <c r="L33" s="3" t="n">
        <v>4</v>
      </c>
      <c r="M33" s="3" t="n">
        <v>4</v>
      </c>
      <c r="N33" s="3" t="n">
        <v>4</v>
      </c>
      <c r="O33" s="3">
        <f>F33*$B$5+G33*$B$6+H33*$B$7+I33*$B$8+J33*$B$9+K33*$B$10+L33*$B$11+M33*$B$12+N33*$B$13</f>
        <v/>
      </c>
      <c r="P33" s="3">
        <f>O33*設定!$B$2</f>
        <v/>
      </c>
      <c r="Q33" s="3">
        <f>(D33-E33)*設定!$B$3-P33-((D33-E33)-P33)*設定!$B$4</f>
        <v/>
      </c>
      <c r="R33" s="3">
        <f>D33*設定!$B$3-P33-(D33-P33)*設定!$B$4</f>
        <v/>
      </c>
      <c r="S33" s="3">
        <f>Q33/C33</f>
        <v/>
      </c>
      <c r="T33" s="3">
        <f>R33/C33</f>
        <v/>
      </c>
    </row>
    <row r="34">
      <c r="A34" t="inlineStr">
        <is>
          <t>S4-J-NTA261219A</t>
        </is>
      </c>
      <c r="B34" t="inlineStr">
        <is>
          <t>2026/12/19</t>
        </is>
      </c>
      <c r="C34" t="n">
        <v>3</v>
      </c>
      <c r="D34" s="3" t="n">
        <v>209500</v>
      </c>
      <c r="E34" s="3" t="n">
        <v>8800</v>
      </c>
      <c r="F34" s="3" t="n">
        <v>9</v>
      </c>
      <c r="G34" s="3" t="n">
        <v>3</v>
      </c>
      <c r="H34" s="3" t="n">
        <v>3</v>
      </c>
      <c r="I34" s="3" t="n">
        <v>3</v>
      </c>
      <c r="J34" s="3" t="n">
        <v>6</v>
      </c>
      <c r="K34" s="3" t="n">
        <v>6</v>
      </c>
      <c r="L34" s="3" t="n">
        <v>3</v>
      </c>
      <c r="M34" s="3" t="n">
        <v>3</v>
      </c>
      <c r="N34" s="3" t="n">
        <v>3</v>
      </c>
      <c r="O34" s="3">
        <f>F34*$B$5+G34*$B$6+H34*$B$7+I34*$B$8+J34*$B$9+K34*$B$10+L34*$B$11+M34*$B$12+N34*$B$13</f>
        <v/>
      </c>
      <c r="P34" s="3">
        <f>O34*設定!$B$2</f>
        <v/>
      </c>
      <c r="Q34" s="3">
        <f>(D34-E34)*設定!$B$3-P34-((D34-E34)-P34)*設定!$B$4</f>
        <v/>
      </c>
      <c r="R34" s="3">
        <f>D34*設定!$B$3-P34-(D34-P34)*設定!$B$4</f>
        <v/>
      </c>
      <c r="S34" s="3">
        <f>Q34/C34</f>
        <v/>
      </c>
      <c r="T34" s="3">
        <f>R34/C34</f>
        <v/>
      </c>
    </row>
    <row r="35">
      <c r="A35" t="inlineStr">
        <is>
          <t>S4-J-NTA270106A</t>
        </is>
      </c>
      <c r="B35" t="inlineStr">
        <is>
          <t>2027/01/06</t>
        </is>
      </c>
      <c r="C35" t="n">
        <v>4</v>
      </c>
      <c r="D35" s="3" t="n">
        <v>280400</v>
      </c>
      <c r="E35" s="3" t="n">
        <v>12800</v>
      </c>
      <c r="F35" s="3" t="n">
        <v>12</v>
      </c>
      <c r="G35" s="3" t="n">
        <v>4</v>
      </c>
      <c r="H35" s="3" t="n">
        <v>4</v>
      </c>
      <c r="I35" s="3" t="n">
        <v>4</v>
      </c>
      <c r="J35" s="3" t="n">
        <v>8</v>
      </c>
      <c r="K35" s="3" t="n">
        <v>8</v>
      </c>
      <c r="L35" s="3" t="n">
        <v>4</v>
      </c>
      <c r="M35" s="3" t="n">
        <v>4</v>
      </c>
      <c r="N35" s="3" t="n">
        <v>4</v>
      </c>
      <c r="O35" s="3">
        <f>F35*$B$5+G35*$B$6+H35*$B$7+I35*$B$8+J35*$B$9+K35*$B$10+L35*$B$11+M35*$B$12+N35*$B$13</f>
        <v/>
      </c>
      <c r="P35" s="3">
        <f>O35*設定!$B$2</f>
        <v/>
      </c>
      <c r="Q35" s="3">
        <f>(D35-E35)*設定!$B$3-P35-((D35-E35)-P35)*設定!$B$4</f>
        <v/>
      </c>
      <c r="R35" s="3">
        <f>D35*設定!$B$3-P35-(D35-P35)*設定!$B$4</f>
        <v/>
      </c>
      <c r="S35" s="3">
        <f>Q35/C35</f>
        <v/>
      </c>
      <c r="T35" s="3">
        <f>R35/C35</f>
        <v/>
      </c>
    </row>
    <row r="36">
      <c r="A36" t="inlineStr">
        <is>
          <t>S4-J-NTA270111A</t>
        </is>
      </c>
      <c r="B36" t="inlineStr">
        <is>
          <t>2027/01/11</t>
        </is>
      </c>
      <c r="C36" t="n">
        <v>4</v>
      </c>
      <c r="D36" s="3" t="n">
        <v>283225</v>
      </c>
      <c r="E36" s="3" t="n">
        <v>12800</v>
      </c>
      <c r="F36" s="3" t="n">
        <v>12</v>
      </c>
      <c r="G36" s="3" t="n">
        <v>4</v>
      </c>
      <c r="H36" s="3" t="n">
        <v>4</v>
      </c>
      <c r="I36" s="3" t="n">
        <v>4</v>
      </c>
      <c r="J36" s="3" t="n">
        <v>8</v>
      </c>
      <c r="K36" s="3" t="n">
        <v>8</v>
      </c>
      <c r="L36" s="3" t="n">
        <v>4</v>
      </c>
      <c r="M36" s="3" t="n">
        <v>4</v>
      </c>
      <c r="N36" s="3" t="n">
        <v>4</v>
      </c>
      <c r="O36" s="3">
        <f>F36*$B$5+G36*$B$6+H36*$B$7+I36*$B$8+J36*$B$9+K36*$B$10+L36*$B$11+M36*$B$12+N36*$B$13</f>
        <v/>
      </c>
      <c r="P36" s="3">
        <f>O36*設定!$B$2</f>
        <v/>
      </c>
      <c r="Q36" s="3">
        <f>(D36-E36)*設定!$B$3-P36-((D36-E36)-P36)*設定!$B$4</f>
        <v/>
      </c>
      <c r="R36" s="3">
        <f>D36*設定!$B$3-P36-(D36-P36)*設定!$B$4</f>
        <v/>
      </c>
      <c r="S36" s="3">
        <f>Q36/C36</f>
        <v/>
      </c>
      <c r="T36" s="3">
        <f>R36/C36</f>
        <v/>
      </c>
    </row>
    <row r="37">
      <c r="A37" t="inlineStr">
        <is>
          <t>S4-J-NTA270116A</t>
        </is>
      </c>
      <c r="B37" t="inlineStr">
        <is>
          <t>2027/01/16</t>
        </is>
      </c>
      <c r="C37" t="n">
        <v>2</v>
      </c>
      <c r="D37" s="3" t="n">
        <v>142200</v>
      </c>
      <c r="E37" s="3" t="n">
        <v>6400</v>
      </c>
      <c r="F37" s="3" t="n">
        <v>6</v>
      </c>
      <c r="G37" s="3" t="n">
        <v>2</v>
      </c>
      <c r="H37" s="3" t="n">
        <v>2</v>
      </c>
      <c r="I37" s="3" t="n">
        <v>2</v>
      </c>
      <c r="J37" s="3" t="n">
        <v>4</v>
      </c>
      <c r="K37" s="3" t="n">
        <v>4</v>
      </c>
      <c r="L37" s="3" t="n">
        <v>2</v>
      </c>
      <c r="M37" s="3" t="n">
        <v>2</v>
      </c>
      <c r="N37" s="3" t="n">
        <v>2</v>
      </c>
      <c r="O37" s="3">
        <f>F37*$B$5+G37*$B$6+H37*$B$7+I37*$B$8+J37*$B$9+K37*$B$10+L37*$B$11+M37*$B$12+N37*$B$13</f>
        <v/>
      </c>
      <c r="P37" s="3">
        <f>O37*設定!$B$2</f>
        <v/>
      </c>
      <c r="Q37" s="3">
        <f>(D37-E37)*設定!$B$3-P37-((D37-E37)-P37)*設定!$B$4</f>
        <v/>
      </c>
      <c r="R37" s="3">
        <f>D37*設定!$B$3-P37-(D37-P37)*設定!$B$4</f>
        <v/>
      </c>
      <c r="S37" s="3">
        <f>Q37/C37</f>
        <v/>
      </c>
      <c r="T37" s="3">
        <f>R37/C37</f>
        <v/>
      </c>
    </row>
    <row r="38">
      <c r="A38" t="inlineStr">
        <is>
          <t>S4-J-NTA270119A</t>
        </is>
      </c>
      <c r="B38" t="inlineStr">
        <is>
          <t>2027/01/19</t>
        </is>
      </c>
      <c r="C38" t="n">
        <v>6</v>
      </c>
      <c r="D38" s="3" t="n">
        <v>417400</v>
      </c>
      <c r="E38" s="3" t="n">
        <v>16000</v>
      </c>
      <c r="F38" s="3" t="n">
        <v>18</v>
      </c>
      <c r="G38" s="3" t="n">
        <v>6</v>
      </c>
      <c r="H38" s="3" t="n">
        <v>6</v>
      </c>
      <c r="I38" s="3" t="n">
        <v>6</v>
      </c>
      <c r="J38" s="3" t="n">
        <v>12</v>
      </c>
      <c r="K38" s="3" t="n">
        <v>12</v>
      </c>
      <c r="L38" s="3" t="n">
        <v>6</v>
      </c>
      <c r="M38" s="3" t="n">
        <v>6</v>
      </c>
      <c r="N38" s="3" t="n">
        <v>6</v>
      </c>
      <c r="O38" s="3">
        <f>F38*$B$5+G38*$B$6+H38*$B$7+I38*$B$8+J38*$B$9+K38*$B$10+L38*$B$11+M38*$B$12+N38*$B$13</f>
        <v/>
      </c>
      <c r="P38" s="3">
        <f>O38*設定!$B$2</f>
        <v/>
      </c>
      <c r="Q38" s="3">
        <f>(D38-E38)*設定!$B$3-P38-((D38-E38)-P38)*設定!$B$4</f>
        <v/>
      </c>
      <c r="R38" s="3">
        <f>D38*設定!$B$3-P38-(D38-P38)*設定!$B$4</f>
        <v/>
      </c>
      <c r="S38" s="3">
        <f>Q38/C38</f>
        <v/>
      </c>
      <c r="T38" s="3">
        <f>R38/C38</f>
        <v/>
      </c>
    </row>
    <row r="39">
      <c r="A39" t="inlineStr">
        <is>
          <t>S4-J-NTA270212A</t>
        </is>
      </c>
      <c r="B39" t="inlineStr">
        <is>
          <t>2027/02/12</t>
        </is>
      </c>
      <c r="C39" t="n">
        <v>4</v>
      </c>
      <c r="D39" s="3" t="n">
        <v>267600</v>
      </c>
      <c r="E39" s="3" t="n">
        <v>0</v>
      </c>
      <c r="F39" s="3" t="n">
        <v>12</v>
      </c>
      <c r="G39" s="3" t="n">
        <v>4</v>
      </c>
      <c r="H39" s="3" t="n">
        <v>4</v>
      </c>
      <c r="I39" s="3" t="n">
        <v>4</v>
      </c>
      <c r="J39" s="3" t="n">
        <v>8</v>
      </c>
      <c r="K39" s="3" t="n">
        <v>8</v>
      </c>
      <c r="L39" s="3" t="n">
        <v>4</v>
      </c>
      <c r="M39" s="3" t="n">
        <v>4</v>
      </c>
      <c r="N39" s="3" t="n">
        <v>4</v>
      </c>
      <c r="O39" s="3">
        <f>F39*$B$5+G39*$B$6+H39*$B$7+I39*$B$8+J39*$B$9+K39*$B$10+L39*$B$11+M39*$B$12+N39*$B$13</f>
        <v/>
      </c>
      <c r="P39" s="3">
        <f>O39*設定!$B$2</f>
        <v/>
      </c>
      <c r="Q39" s="3">
        <f>(D39-E39)*設定!$B$3-P39-((D39-E39)-P39)*設定!$B$4</f>
        <v/>
      </c>
      <c r="R39" s="3">
        <f>D39*設定!$B$3-P39-(D39-P39)*設定!$B$4</f>
        <v/>
      </c>
      <c r="S39" s="3">
        <f>Q39/C39</f>
        <v/>
      </c>
      <c r="T39" s="3">
        <f>R39/C39</f>
        <v/>
      </c>
    </row>
    <row r="40">
      <c r="A40" t="inlineStr">
        <is>
          <t>S4-J-NTA270213A</t>
        </is>
      </c>
      <c r="B40" t="inlineStr">
        <is>
          <t>2027/02/13</t>
        </is>
      </c>
      <c r="C40" t="n">
        <v>10</v>
      </c>
      <c r="D40" s="3" t="n">
        <v>693800</v>
      </c>
      <c r="E40" s="3" t="n">
        <v>12800</v>
      </c>
      <c r="F40" s="3" t="n">
        <v>30</v>
      </c>
      <c r="G40" s="3" t="n">
        <v>10</v>
      </c>
      <c r="H40" s="3" t="n">
        <v>10</v>
      </c>
      <c r="I40" s="3" t="n">
        <v>10</v>
      </c>
      <c r="J40" s="3" t="n">
        <v>20</v>
      </c>
      <c r="K40" s="3" t="n">
        <v>20</v>
      </c>
      <c r="L40" s="3" t="n">
        <v>10</v>
      </c>
      <c r="M40" s="3" t="n">
        <v>10</v>
      </c>
      <c r="N40" s="3" t="n">
        <v>10</v>
      </c>
      <c r="O40" s="3">
        <f>F40*$B$5+G40*$B$6+H40*$B$7+I40*$B$8+J40*$B$9+K40*$B$10+L40*$B$11+M40*$B$12+N40*$B$13</f>
        <v/>
      </c>
      <c r="P40" s="3">
        <f>O40*設定!$B$2</f>
        <v/>
      </c>
      <c r="Q40" s="3">
        <f>(D40-E40)*設定!$B$3-P40-((D40-E40)-P40)*設定!$B$4</f>
        <v/>
      </c>
      <c r="R40" s="3">
        <f>D40*設定!$B$3-P40-(D40-P40)*設定!$B$4</f>
        <v/>
      </c>
      <c r="S40" s="3">
        <f>Q40/C40</f>
        <v/>
      </c>
      <c r="T40" s="3">
        <f>R40/C40</f>
        <v/>
      </c>
    </row>
    <row r="41">
      <c r="A41" t="inlineStr">
        <is>
          <t>S4-J-NTA270215A</t>
        </is>
      </c>
      <c r="B41" t="inlineStr">
        <is>
          <t>2027/02/15</t>
        </is>
      </c>
      <c r="C41" t="n">
        <v>11</v>
      </c>
      <c r="D41" s="3" t="n">
        <v>767100</v>
      </c>
      <c r="E41" s="3" t="n">
        <v>17200</v>
      </c>
      <c r="F41" s="3" t="n">
        <v>33</v>
      </c>
      <c r="G41" s="3" t="n">
        <v>11</v>
      </c>
      <c r="H41" s="3" t="n">
        <v>11</v>
      </c>
      <c r="I41" s="3" t="n">
        <v>11</v>
      </c>
      <c r="J41" s="3" t="n">
        <v>22</v>
      </c>
      <c r="K41" s="3" t="n">
        <v>22</v>
      </c>
      <c r="L41" s="3" t="n">
        <v>11</v>
      </c>
      <c r="M41" s="3" t="n">
        <v>11</v>
      </c>
      <c r="N41" s="3" t="n">
        <v>11</v>
      </c>
      <c r="O41" s="3">
        <f>F41*$B$5+G41*$B$6+H41*$B$7+I41*$B$8+J41*$B$9+K41*$B$10+L41*$B$11+M41*$B$12+N41*$B$13</f>
        <v/>
      </c>
      <c r="P41" s="3">
        <f>O41*設定!$B$2</f>
        <v/>
      </c>
      <c r="Q41" s="3">
        <f>(D41-E41)*設定!$B$3-P41-((D41-E41)-P41)*設定!$B$4</f>
        <v/>
      </c>
      <c r="R41" s="3">
        <f>D41*設定!$B$3-P41-(D41-P41)*設定!$B$4</f>
        <v/>
      </c>
      <c r="S41" s="3">
        <f>Q41/C41</f>
        <v/>
      </c>
      <c r="T41" s="3">
        <f>R41/C41</f>
        <v/>
      </c>
    </row>
    <row r="42">
      <c r="A42" t="inlineStr">
        <is>
          <t>S4-J-NTA270217A</t>
        </is>
      </c>
      <c r="B42" t="inlineStr">
        <is>
          <t>2027/02/17</t>
        </is>
      </c>
      <c r="C42" t="n">
        <v>4</v>
      </c>
      <c r="D42" s="3" t="n">
        <v>267600</v>
      </c>
      <c r="E42" s="3" t="n">
        <v>0</v>
      </c>
      <c r="F42" s="3" t="n">
        <v>12</v>
      </c>
      <c r="G42" s="3" t="n">
        <v>4</v>
      </c>
      <c r="H42" s="3" t="n">
        <v>4</v>
      </c>
      <c r="I42" s="3" t="n">
        <v>4</v>
      </c>
      <c r="J42" s="3" t="n">
        <v>8</v>
      </c>
      <c r="K42" s="3" t="n">
        <v>8</v>
      </c>
      <c r="L42" s="3" t="n">
        <v>4</v>
      </c>
      <c r="M42" s="3" t="n">
        <v>4</v>
      </c>
      <c r="N42" s="3" t="n">
        <v>4</v>
      </c>
      <c r="O42" s="3">
        <f>F42*$B$5+G42*$B$6+H42*$B$7+I42*$B$8+J42*$B$9+K42*$B$10+L42*$B$11+M42*$B$12+N42*$B$13</f>
        <v/>
      </c>
      <c r="P42" s="3">
        <f>O42*設定!$B$2</f>
        <v/>
      </c>
      <c r="Q42" s="3">
        <f>(D42-E42)*設定!$B$3-P42-((D42-E42)-P42)*設定!$B$4</f>
        <v/>
      </c>
      <c r="R42" s="3">
        <f>D42*設定!$B$3-P42-(D42-P42)*設定!$B$4</f>
        <v/>
      </c>
      <c r="S42" s="3">
        <f>Q42/C42</f>
        <v/>
      </c>
      <c r="T42" s="3">
        <f>R42/C42</f>
        <v/>
      </c>
    </row>
    <row r="43">
      <c r="A43" t="inlineStr">
        <is>
          <t>S4-J-NTA270220A</t>
        </is>
      </c>
      <c r="B43" t="inlineStr">
        <is>
          <t>2027/02/20</t>
        </is>
      </c>
      <c r="C43" t="n">
        <v>1</v>
      </c>
      <c r="D43" s="3" t="n">
        <v>68900</v>
      </c>
      <c r="E43" s="3" t="n">
        <v>0</v>
      </c>
      <c r="F43" s="3" t="n">
        <v>3</v>
      </c>
      <c r="G43" s="3" t="n">
        <v>1</v>
      </c>
      <c r="H43" s="3" t="n">
        <v>1</v>
      </c>
      <c r="I43" s="3" t="n">
        <v>1</v>
      </c>
      <c r="J43" s="3" t="n">
        <v>2</v>
      </c>
      <c r="K43" s="3" t="n">
        <v>2</v>
      </c>
      <c r="L43" s="3" t="n">
        <v>1</v>
      </c>
      <c r="M43" s="3" t="n">
        <v>1</v>
      </c>
      <c r="N43" s="3" t="n">
        <v>1</v>
      </c>
      <c r="O43" s="3">
        <f>F43*$B$5+G43*$B$6+H43*$B$7+I43*$B$8+J43*$B$9+K43*$B$10+L43*$B$11+M43*$B$12+N43*$B$13</f>
        <v/>
      </c>
      <c r="P43" s="3">
        <f>O43*設定!$B$2</f>
        <v/>
      </c>
      <c r="Q43" s="3">
        <f>(D43-E43)*設定!$B$3-P43-((D43-E43)-P43)*設定!$B$4</f>
        <v/>
      </c>
      <c r="R43" s="3">
        <f>D43*設定!$B$3-P43-(D43-P43)*設定!$B$4</f>
        <v/>
      </c>
      <c r="S43" s="3">
        <f>Q43/C43</f>
        <v/>
      </c>
      <c r="T43" s="3">
        <f>R43/C43</f>
        <v/>
      </c>
    </row>
    <row r="44">
      <c r="A44" t="inlineStr">
        <is>
          <t>S4-J-NTA270224A</t>
        </is>
      </c>
      <c r="B44" t="inlineStr">
        <is>
          <t>2027/02/24</t>
        </is>
      </c>
      <c r="C44" t="n">
        <v>4</v>
      </c>
      <c r="D44" s="3" t="n">
        <v>279600</v>
      </c>
      <c r="E44" s="3" t="n">
        <v>0</v>
      </c>
      <c r="F44" s="3" t="n">
        <v>12</v>
      </c>
      <c r="G44" s="3" t="n">
        <v>4</v>
      </c>
      <c r="H44" s="3" t="n">
        <v>4</v>
      </c>
      <c r="I44" s="3" t="n">
        <v>4</v>
      </c>
      <c r="J44" s="3" t="n">
        <v>8</v>
      </c>
      <c r="K44" s="3" t="n">
        <v>8</v>
      </c>
      <c r="L44" s="3" t="n">
        <v>4</v>
      </c>
      <c r="M44" s="3" t="n">
        <v>4</v>
      </c>
      <c r="N44" s="3" t="n">
        <v>4</v>
      </c>
      <c r="O44" s="3">
        <f>F44*$B$5+G44*$B$6+H44*$B$7+I44*$B$8+J44*$B$9+K44*$B$10+L44*$B$11+M44*$B$12+N44*$B$13</f>
        <v/>
      </c>
      <c r="P44" s="3">
        <f>O44*設定!$B$2</f>
        <v/>
      </c>
      <c r="Q44" s="3">
        <f>(D44-E44)*設定!$B$3-P44-((D44-E44)-P44)*設定!$B$4</f>
        <v/>
      </c>
      <c r="R44" s="3">
        <f>D44*設定!$B$3-P44-(D44-P44)*設定!$B$4</f>
        <v/>
      </c>
      <c r="S44" s="3">
        <f>Q44/C44</f>
        <v/>
      </c>
      <c r="T44" s="3">
        <f>R44/C44</f>
        <v/>
      </c>
    </row>
    <row r="45">
      <c r="A45" t="inlineStr">
        <is>
          <t>S4-J-NTA270301A</t>
        </is>
      </c>
      <c r="B45" t="inlineStr">
        <is>
          <t>2027/03/01</t>
        </is>
      </c>
      <c r="C45" t="n">
        <v>1</v>
      </c>
      <c r="D45" s="3" t="n">
        <v>92400</v>
      </c>
      <c r="E45" s="3" t="n">
        <v>0</v>
      </c>
      <c r="F45" s="3" t="n">
        <v>3</v>
      </c>
      <c r="G45" s="3" t="n">
        <v>1</v>
      </c>
      <c r="H45" s="3" t="n">
        <v>1</v>
      </c>
      <c r="I45" s="3" t="n">
        <v>1</v>
      </c>
      <c r="J45" s="3" t="n">
        <v>2</v>
      </c>
      <c r="K45" s="3" t="n">
        <v>2</v>
      </c>
      <c r="L45" s="3" t="n">
        <v>1</v>
      </c>
      <c r="M45" s="3" t="n">
        <v>1</v>
      </c>
      <c r="N45" s="3" t="n">
        <v>1</v>
      </c>
      <c r="O45" s="3">
        <f>F45*$B$5+G45*$B$6+H45*$B$7+I45*$B$8+J45*$B$9+K45*$B$10+L45*$B$11+M45*$B$12+N45*$B$13</f>
        <v/>
      </c>
      <c r="P45" s="3">
        <f>O45*設定!$B$2</f>
        <v/>
      </c>
      <c r="Q45" s="3">
        <f>(D45-E45)*設定!$B$3-P45-((D45-E45)-P45)*設定!$B$4</f>
        <v/>
      </c>
      <c r="R45" s="3">
        <f>D45*設定!$B$3-P45-(D45-P45)*設定!$B$4</f>
        <v/>
      </c>
      <c r="S45" s="3">
        <f>Q45/C45</f>
        <v/>
      </c>
      <c r="T45" s="3">
        <f>R45/C45</f>
        <v/>
      </c>
    </row>
    <row r="46">
      <c r="A46" t="inlineStr">
        <is>
          <t>S4-J-NTA270303A</t>
        </is>
      </c>
      <c r="B46" t="inlineStr">
        <is>
          <t>2027/03/03</t>
        </is>
      </c>
      <c r="C46" t="n">
        <v>4</v>
      </c>
      <c r="D46" s="3" t="n">
        <v>263600</v>
      </c>
      <c r="E46" s="3" t="n">
        <v>0</v>
      </c>
      <c r="F46" s="3" t="n">
        <v>12</v>
      </c>
      <c r="G46" s="3" t="n">
        <v>4</v>
      </c>
      <c r="H46" s="3" t="n">
        <v>4</v>
      </c>
      <c r="I46" s="3" t="n">
        <v>4</v>
      </c>
      <c r="J46" s="3" t="n">
        <v>8</v>
      </c>
      <c r="K46" s="3" t="n">
        <v>8</v>
      </c>
      <c r="L46" s="3" t="n">
        <v>4</v>
      </c>
      <c r="M46" s="3" t="n">
        <v>4</v>
      </c>
      <c r="N46" s="3" t="n">
        <v>4</v>
      </c>
      <c r="O46" s="3">
        <f>F46*$B$5+G46*$B$6+H46*$B$7+I46*$B$8+J46*$B$9+K46*$B$10+L46*$B$11+M46*$B$12+N46*$B$13</f>
        <v/>
      </c>
      <c r="P46" s="3">
        <f>O46*設定!$B$2</f>
        <v/>
      </c>
      <c r="Q46" s="3">
        <f>(D46-E46)*設定!$B$3-P46-((D46-E46)-P46)*設定!$B$4</f>
        <v/>
      </c>
      <c r="R46" s="3">
        <f>D46*設定!$B$3-P46-(D46-P46)*設定!$B$4</f>
        <v/>
      </c>
      <c r="S46" s="3">
        <f>Q46/C46</f>
        <v/>
      </c>
      <c r="T46" s="3">
        <f>R46/C46</f>
        <v/>
      </c>
    </row>
    <row r="47">
      <c r="A47" t="inlineStr">
        <is>
          <t>S4-J-NTA270312A</t>
        </is>
      </c>
      <c r="B47" t="inlineStr">
        <is>
          <t>2027/03/12</t>
        </is>
      </c>
      <c r="C47" t="n">
        <v>4</v>
      </c>
      <c r="D47" s="3" t="n">
        <v>259600</v>
      </c>
      <c r="E47" s="3" t="n">
        <v>0</v>
      </c>
      <c r="F47" s="3" t="n">
        <v>12</v>
      </c>
      <c r="G47" s="3" t="n">
        <v>4</v>
      </c>
      <c r="H47" s="3" t="n">
        <v>4</v>
      </c>
      <c r="I47" s="3" t="n">
        <v>4</v>
      </c>
      <c r="J47" s="3" t="n">
        <v>8</v>
      </c>
      <c r="K47" s="3" t="n">
        <v>8</v>
      </c>
      <c r="L47" s="3" t="n">
        <v>4</v>
      </c>
      <c r="M47" s="3" t="n">
        <v>4</v>
      </c>
      <c r="N47" s="3" t="n">
        <v>4</v>
      </c>
      <c r="O47" s="3">
        <f>F47*$B$5+G47*$B$6+H47*$B$7+I47*$B$8+J47*$B$9+K47*$B$10+L47*$B$11+M47*$B$12+N47*$B$13</f>
        <v/>
      </c>
      <c r="P47" s="3">
        <f>O47*設定!$B$2</f>
        <v/>
      </c>
      <c r="Q47" s="3">
        <f>(D47-E47)*設定!$B$3-P47-((D47-E47)-P47)*設定!$B$4</f>
        <v/>
      </c>
      <c r="R47" s="3">
        <f>D47*設定!$B$3-P47-(D47-P47)*設定!$B$4</f>
        <v/>
      </c>
      <c r="S47" s="3">
        <f>Q47/C47</f>
        <v/>
      </c>
      <c r="T47" s="3">
        <f>R47/C47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野澤不含機票(團號 無A)</t>
        </is>
      </c>
    </row>
    <row r="2">
      <c r="A2" t="inlineStr">
        <is>
          <t>人數</t>
        </is>
      </c>
      <c r="B2">
        <f>SUM(C32:C100)</f>
        <v/>
      </c>
    </row>
    <row r="4">
      <c r="A4" s="2" t="inlineStr">
        <is>
          <t>項目</t>
        </is>
      </c>
      <c r="B4" s="2" t="inlineStr">
        <is>
          <t>單價(日幣,在設定分頁填)</t>
        </is>
      </c>
      <c r="C4" s="2" t="inlineStr">
        <is>
          <t>數量</t>
        </is>
      </c>
      <c r="D4" s="2" t="inlineStr">
        <is>
          <t>日幣總價</t>
        </is>
      </c>
      <c r="E4" s="2" t="inlineStr">
        <is>
          <t>台幣總價</t>
        </is>
      </c>
      <c r="F4" s="2" t="inlineStr">
        <is>
          <t>每人數量</t>
        </is>
      </c>
      <c r="G4" s="2" t="inlineStr">
        <is>
          <t>每人台幣</t>
        </is>
      </c>
      <c r="H4" s="2" t="inlineStr">
        <is>
          <t>數量算法</t>
        </is>
      </c>
    </row>
    <row r="5">
      <c r="A5" t="inlineStr">
        <is>
          <t>野澤住宿(1泊)</t>
        </is>
      </c>
      <c r="B5" s="3">
        <f>設定!$C$16</f>
        <v/>
      </c>
      <c r="C5" s="3">
        <f>SUM(F32:F100)</f>
        <v/>
      </c>
      <c r="D5" s="3">
        <f>B5*C5</f>
        <v/>
      </c>
      <c r="E5" s="3">
        <f>D5*設定!$B$2</f>
        <v/>
      </c>
      <c r="F5" s="3">
        <f>IF($B$2=0,0,C5/$B$2)</f>
        <v/>
      </c>
      <c r="G5" s="3">
        <f>IF($B$2=0,0,E5/$B$2)</f>
        <v/>
      </c>
      <c r="H5" t="inlineStr">
        <is>
          <t>標準3泊 + 續滑天數(保留市區住宿者不加)</t>
        </is>
      </c>
    </row>
    <row r="6">
      <c r="A6" t="inlineStr">
        <is>
          <t>東京住宿(1泊)</t>
        </is>
      </c>
      <c r="B6" s="3">
        <f>設定!$C$17</f>
        <v/>
      </c>
      <c r="C6" s="3">
        <f>SUM(G32:G100)</f>
        <v/>
      </c>
      <c r="D6" s="3">
        <f>B6*C6</f>
        <v/>
      </c>
      <c r="E6" s="3">
        <f>D6*設定!$B$2</f>
        <v/>
      </c>
      <c r="F6" s="3">
        <f>IF($B$2=0,0,C6/$B$2)</f>
        <v/>
      </c>
      <c r="G6" s="3">
        <f>IF($B$2=0,0,E6/$B$2)</f>
        <v/>
      </c>
      <c r="H6" t="inlineStr">
        <is>
          <t>標準1泊 + 市區續住;取消者標準為0</t>
        </is>
      </c>
    </row>
    <row r="7">
      <c r="A7" t="inlineStr">
        <is>
          <t>交通 機場&gt;雪場</t>
        </is>
      </c>
      <c r="B7" s="3">
        <f>設定!$C$18</f>
        <v/>
      </c>
      <c r="C7" s="3">
        <f>SUM(H32:H100)</f>
        <v/>
      </c>
      <c r="D7" s="3">
        <f>B7*C7</f>
        <v/>
      </c>
      <c r="E7" s="3">
        <f>D7*設定!$B$2</f>
        <v/>
      </c>
      <c r="F7" s="3">
        <f>IF($B$2=0,0,C7/$B$2)</f>
        <v/>
      </c>
      <c r="G7" s="3">
        <f>IF($B$2=0,0,E7/$B$2)</f>
        <v/>
      </c>
      <c r="H7" t="inlineStr">
        <is>
          <t>每人1</t>
        </is>
      </c>
    </row>
    <row r="8">
      <c r="A8" t="inlineStr">
        <is>
          <t>交通 雪場&gt;市區</t>
        </is>
      </c>
      <c r="B8" s="3">
        <f>設定!$C$19</f>
        <v/>
      </c>
      <c r="C8" s="3">
        <f>SUM(I32:I100)</f>
        <v/>
      </c>
      <c r="D8" s="3">
        <f>B8*C8</f>
        <v/>
      </c>
      <c r="E8" s="3">
        <f>D8*設定!$B$2</f>
        <v/>
      </c>
      <c r="F8" s="3">
        <f>IF($B$2=0,0,C8/$B$2)</f>
        <v/>
      </c>
      <c r="G8" s="3">
        <f>IF($B$2=0,0,E8/$B$2)</f>
        <v/>
      </c>
      <c r="H8" t="inlineStr">
        <is>
          <t>每人1</t>
        </is>
      </c>
    </row>
    <row r="9">
      <c r="A9" t="inlineStr">
        <is>
          <t>雪票(1日)</t>
        </is>
      </c>
      <c r="B9" s="3">
        <f>設定!$C$20</f>
        <v/>
      </c>
      <c r="C9" s="3">
        <f>SUM(J32:J100)</f>
        <v/>
      </c>
      <c r="D9" s="3">
        <f>B9*C9</f>
        <v/>
      </c>
      <c r="E9" s="3">
        <f>D9*設定!$B$2</f>
        <v/>
      </c>
      <c r="F9" s="3">
        <f>IF($B$2=0,0,C9/$B$2)</f>
        <v/>
      </c>
      <c r="G9" s="3">
        <f>IF($B$2=0,0,E9/$B$2)</f>
        <v/>
      </c>
      <c r="H9" t="inlineStr">
        <is>
          <t>標準2日 + 續滑天數</t>
        </is>
      </c>
    </row>
    <row r="10">
      <c r="A10" t="inlineStr">
        <is>
          <t>雪靴(1日)</t>
        </is>
      </c>
      <c r="B10" s="3">
        <f>設定!$C$21</f>
        <v/>
      </c>
      <c r="C10" s="3">
        <f>SUM(K32:K100)</f>
        <v/>
      </c>
      <c r="D10" s="3">
        <f>B10*C10</f>
        <v/>
      </c>
      <c r="E10" s="3">
        <f>D10*設定!$B$2</f>
        <v/>
      </c>
      <c r="F10" s="3">
        <f>IF($B$2=0,0,C10/$B$2)</f>
        <v/>
      </c>
      <c r="G10" s="3">
        <f>IF($B$2=0,0,E10/$B$2)</f>
        <v/>
      </c>
      <c r="H10" t="inlineStr">
        <is>
          <t>標準2日 + 續滑天數</t>
        </is>
      </c>
    </row>
    <row r="11">
      <c r="A11" t="inlineStr">
        <is>
          <t>下山巴士</t>
        </is>
      </c>
      <c r="B11" s="3">
        <f>設定!$C$22</f>
        <v/>
      </c>
      <c r="C11" s="3">
        <f>SUM(L32:L100)</f>
        <v/>
      </c>
      <c r="D11" s="3">
        <f>B11*C11</f>
        <v/>
      </c>
      <c r="E11" s="3">
        <f>D11*設定!$B$2</f>
        <v/>
      </c>
      <c r="F11" s="3">
        <f>IF($B$2=0,0,C11/$B$2)</f>
        <v/>
      </c>
      <c r="G11" s="3">
        <f>IF($B$2=0,0,E11/$B$2)</f>
        <v/>
      </c>
      <c r="H11" t="inlineStr">
        <is>
          <t>每人1</t>
        </is>
      </c>
    </row>
    <row r="12">
      <c r="A12" t="inlineStr">
        <is>
          <t>保險</t>
        </is>
      </c>
      <c r="B12" s="3">
        <f>設定!$C$24</f>
        <v/>
      </c>
      <c r="C12" s="3">
        <f>SUM(M32:M100)</f>
        <v/>
      </c>
      <c r="D12" s="3">
        <f>B12*C12</f>
        <v/>
      </c>
      <c r="E12" s="3">
        <f>D12*設定!$B$2</f>
        <v/>
      </c>
      <c r="F12" s="3">
        <f>IF($B$2=0,0,C12/$B$2)</f>
        <v/>
      </c>
      <c r="G12" s="3">
        <f>IF($B$2=0,0,E12/$B$2)</f>
        <v/>
      </c>
      <c r="H12" t="inlineStr">
        <is>
          <t>每人1</t>
        </is>
      </c>
    </row>
    <row r="13">
      <c r="A13" s="4" t="inlineStr">
        <is>
          <t>總成本</t>
        </is>
      </c>
      <c r="B13" s="3" t="n"/>
      <c r="C13" s="3" t="n"/>
      <c r="D13" s="3">
        <f>SUM(D5:D12)</f>
        <v/>
      </c>
      <c r="E13" s="3">
        <f>SUM(E5:E12)</f>
        <v/>
      </c>
      <c r="F13" s="3" t="n"/>
      <c r="G13" s="3">
        <f>SUM(G5:G12)</f>
        <v/>
      </c>
    </row>
    <row r="14">
      <c r="B14" s="3" t="n"/>
      <c r="C14" s="3" t="n"/>
      <c r="D14" s="3" t="n"/>
      <c r="E14" s="3" t="n"/>
      <c r="F14" s="3" t="n"/>
      <c r="G14" s="3" t="n"/>
    </row>
    <row r="15">
      <c r="A15" s="2" t="inlineStr">
        <is>
          <t>結果(台幣)</t>
        </is>
      </c>
      <c r="B15" s="6" t="inlineStr">
        <is>
          <t>版本一(不計租借收入)</t>
        </is>
      </c>
      <c r="C15" s="6" t="inlineStr">
        <is>
          <t>版本二(含租借收入)</t>
        </is>
      </c>
      <c r="D15" s="3" t="n"/>
      <c r="E15" s="3" t="n"/>
      <c r="F15" s="3" t="n"/>
      <c r="G15" s="3" t="n"/>
    </row>
    <row r="16">
      <c r="A16" t="inlineStr">
        <is>
          <t>總收入(原始團費)</t>
        </is>
      </c>
      <c r="B16" s="3">
        <f>SUM(D32:D100)</f>
        <v/>
      </c>
      <c r="C16" s="3">
        <f>SUM(D32:D100)</f>
        <v/>
      </c>
      <c r="D16" s="3" t="n"/>
      <c r="E16" s="3" t="n"/>
      <c r="F16" s="3" t="n"/>
      <c r="G16" s="3" t="n"/>
    </row>
    <row r="17">
      <c r="A17" t="inlineStr">
        <is>
          <t>租借收入(依租借欄位估算)</t>
        </is>
      </c>
      <c r="B17" s="3">
        <f>SUM(E32:E100)</f>
        <v/>
      </c>
      <c r="C17" s="3">
        <f>SUM(E32:E100)</f>
        <v/>
      </c>
      <c r="D17" s="3" t="n"/>
      <c r="E17" s="3" t="n"/>
      <c r="F17" s="3" t="n"/>
      <c r="G17" s="3" t="n"/>
    </row>
    <row r="18">
      <c r="A18" t="inlineStr">
        <is>
          <t>計入收入</t>
        </is>
      </c>
      <c r="B18" s="3">
        <f>B16-B17</f>
        <v/>
      </c>
      <c r="C18" s="3">
        <f>C16</f>
        <v/>
      </c>
      <c r="D18" s="3" t="n"/>
      <c r="E18" s="3" t="n"/>
      <c r="F18" s="3" t="n"/>
      <c r="G18" s="3" t="n"/>
    </row>
    <row r="19">
      <c r="A19" t="inlineStr">
        <is>
          <t>刷卡後收入(×係數)</t>
        </is>
      </c>
      <c r="B19" s="3">
        <f>B18*設定!$B$3</f>
        <v/>
      </c>
      <c r="C19" s="3">
        <f>C18*設定!$B$3</f>
        <v/>
      </c>
      <c r="D19" s="3" t="n"/>
      <c r="E19" s="3" t="n"/>
      <c r="F19" s="3" t="n"/>
      <c r="G19" s="3" t="n"/>
    </row>
    <row r="20">
      <c r="A20" t="inlineStr">
        <is>
          <t>總成本</t>
        </is>
      </c>
      <c r="B20" s="3">
        <f>$E$13</f>
        <v/>
      </c>
      <c r="C20" s="3">
        <f>$E$13</f>
        <v/>
      </c>
      <c r="D20" s="3" t="n"/>
      <c r="E20" s="3" t="n"/>
      <c r="F20" s="3" t="n"/>
      <c r="G20" s="3" t="n"/>
    </row>
    <row r="21">
      <c r="A21" t="inlineStr">
        <is>
          <t>稅 (計入收入−總成本)×稅率</t>
        </is>
      </c>
      <c r="B21" s="3">
        <f>(B18-B20)*設定!$B$4</f>
        <v/>
      </c>
      <c r="C21" s="3">
        <f>(C18-C20)*設定!$B$4</f>
        <v/>
      </c>
      <c r="D21" s="3" t="n"/>
      <c r="E21" s="3" t="n"/>
      <c r="F21" s="3" t="n"/>
      <c r="G21" s="3" t="n"/>
    </row>
    <row r="22">
      <c r="A22" s="7" t="inlineStr">
        <is>
          <t>最後結果</t>
        </is>
      </c>
      <c r="B22" s="8">
        <f>B19-B20-B21</f>
        <v/>
      </c>
      <c r="C22" s="8">
        <f>C19-C20-C21</f>
        <v/>
      </c>
      <c r="D22" s="3" t="n"/>
      <c r="E22" s="3" t="n"/>
      <c r="F22" s="3" t="n"/>
      <c r="G22" s="3" t="n"/>
    </row>
    <row r="23">
      <c r="A23" t="inlineStr">
        <is>
          <t>每人 計入收入</t>
        </is>
      </c>
      <c r="B23" s="3">
        <f>IF($B$2=0,0,B18/$B$2)</f>
        <v/>
      </c>
      <c r="C23" s="3">
        <f>IF($B$2=0,0,C18/$B$2)</f>
        <v/>
      </c>
      <c r="D23" s="3" t="n"/>
      <c r="E23" s="3" t="n"/>
      <c r="F23" s="3" t="n"/>
      <c r="G23" s="3" t="n"/>
    </row>
    <row r="24">
      <c r="A24" t="inlineStr">
        <is>
          <t>每人 總成本</t>
        </is>
      </c>
      <c r="B24" s="3">
        <f>IF($B$2=0,0,B20/$B$2)</f>
        <v/>
      </c>
      <c r="C24" s="3">
        <f>IF($B$2=0,0,C20/$B$2)</f>
        <v/>
      </c>
      <c r="D24" s="3" t="n"/>
      <c r="E24" s="3" t="n"/>
      <c r="F24" s="3" t="n"/>
      <c r="G24" s="3" t="n"/>
    </row>
    <row r="25">
      <c r="A25" t="inlineStr">
        <is>
          <t>每人 結果</t>
        </is>
      </c>
      <c r="B25" s="3">
        <f>IF($B$2=0,0,B22/$B$2)</f>
        <v/>
      </c>
      <c r="C25" s="3">
        <f>IF($B$2=0,0,C22/$B$2)</f>
        <v/>
      </c>
      <c r="D25" s="3" t="n"/>
      <c r="E25" s="3" t="n"/>
      <c r="F25" s="3" t="n"/>
      <c r="G25" s="3" t="n"/>
    </row>
    <row r="26">
      <c r="B26" s="3" t="n"/>
      <c r="C26" s="3" t="n"/>
      <c r="D26" s="3" t="n"/>
      <c r="E26" s="3" t="n"/>
      <c r="F26" s="3" t="n"/>
      <c r="G26" s="3" t="n"/>
    </row>
    <row r="30">
      <c r="A30" s="4" t="inlineStr">
        <is>
          <t>團別明細(數量來自原始資料;成本用上方單價計算)</t>
        </is>
      </c>
    </row>
    <row r="31">
      <c r="A31" s="2" t="inlineStr">
        <is>
          <t>團號</t>
        </is>
      </c>
      <c r="B31" s="2" t="inlineStr">
        <is>
          <t>出發日</t>
        </is>
      </c>
      <c r="C31" s="2" t="inlineStr">
        <is>
          <t>人數</t>
        </is>
      </c>
      <c r="D31" s="2" t="inlineStr">
        <is>
          <t>總收入</t>
        </is>
      </c>
      <c r="E31" s="2" t="inlineStr">
        <is>
          <t>租借收入(估)</t>
        </is>
      </c>
      <c r="F31" s="2" t="inlineStr">
        <is>
          <t>野澤住宿(1泊)</t>
        </is>
      </c>
      <c r="G31" s="2" t="inlineStr">
        <is>
          <t>東京住宿(1泊)</t>
        </is>
      </c>
      <c r="H31" s="2" t="inlineStr">
        <is>
          <t>交通 機場&gt;雪場</t>
        </is>
      </c>
      <c r="I31" s="2" t="inlineStr">
        <is>
          <t>交通 雪場&gt;市區</t>
        </is>
      </c>
      <c r="J31" s="2" t="inlineStr">
        <is>
          <t>雪票(1日)</t>
        </is>
      </c>
      <c r="K31" s="2" t="inlineStr">
        <is>
          <t>雪靴(1日)</t>
        </is>
      </c>
      <c r="L31" s="2" t="inlineStr">
        <is>
          <t>下山巴士</t>
        </is>
      </c>
      <c r="M31" s="2" t="inlineStr">
        <is>
          <t>保險</t>
        </is>
      </c>
      <c r="N31" s="2" t="inlineStr">
        <is>
          <t>日幣成本</t>
        </is>
      </c>
      <c r="O31" s="2" t="inlineStr">
        <is>
          <t>台幣成本</t>
        </is>
      </c>
      <c r="P31" s="2" t="inlineStr">
        <is>
          <t>版本一結果</t>
        </is>
      </c>
      <c r="Q31" s="2" t="inlineStr">
        <is>
          <t>版本二結果</t>
        </is>
      </c>
      <c r="R31" s="2" t="inlineStr">
        <is>
          <t>每人 版本一</t>
        </is>
      </c>
      <c r="S31" s="2" t="inlineStr">
        <is>
          <t>每人 版本二</t>
        </is>
      </c>
    </row>
    <row r="32">
      <c r="A32" t="inlineStr">
        <is>
          <t>S4-J-N0270114A</t>
        </is>
      </c>
      <c r="B32" t="inlineStr">
        <is>
          <t>2027/01/14</t>
        </is>
      </c>
      <c r="C32" t="n">
        <v>5</v>
      </c>
      <c r="D32" s="3" t="n">
        <v>229500</v>
      </c>
      <c r="E32" s="3" t="n">
        <v>0</v>
      </c>
      <c r="F32" s="3" t="n">
        <v>15</v>
      </c>
      <c r="G32" s="3" t="n">
        <v>0</v>
      </c>
      <c r="H32" s="3" t="n">
        <v>5</v>
      </c>
      <c r="I32" s="3" t="n">
        <v>5</v>
      </c>
      <c r="J32" s="3" t="n">
        <v>10</v>
      </c>
      <c r="K32" s="3" t="n">
        <v>10</v>
      </c>
      <c r="L32" s="3" t="n">
        <v>5</v>
      </c>
      <c r="M32" s="3" t="n">
        <v>5</v>
      </c>
      <c r="N32" s="3">
        <f>F32*$B$5+G32*$B$6+H32*$B$7+I32*$B$8+J32*$B$9+K32*$B$10+L32*$B$11+M32*$B$12</f>
        <v/>
      </c>
      <c r="O32" s="3">
        <f>N32*設定!$B$2</f>
        <v/>
      </c>
      <c r="P32" s="3">
        <f>(D32-E32)*設定!$B$3-O32-((D32-E32)-O32)*設定!$B$4</f>
        <v/>
      </c>
      <c r="Q32" s="3">
        <f>D32*設定!$B$3-O32-(D32-O32)*設定!$B$4</f>
        <v/>
      </c>
      <c r="R32" s="3">
        <f>P32/C32</f>
        <v/>
      </c>
      <c r="S32" s="3">
        <f>Q32/C32</f>
        <v/>
      </c>
    </row>
    <row r="33">
      <c r="A33" t="inlineStr">
        <is>
          <t>S4-J-N0270125A</t>
        </is>
      </c>
      <c r="B33" t="inlineStr">
        <is>
          <t>2027/01/25</t>
        </is>
      </c>
      <c r="C33" t="n">
        <v>5</v>
      </c>
      <c r="D33" s="3" t="n">
        <v>329500</v>
      </c>
      <c r="E33" s="3" t="n">
        <v>0</v>
      </c>
      <c r="F33" s="3" t="n">
        <v>25</v>
      </c>
      <c r="G33" s="3" t="n">
        <v>0</v>
      </c>
      <c r="H33" s="3" t="n">
        <v>5</v>
      </c>
      <c r="I33" s="3" t="n">
        <v>5</v>
      </c>
      <c r="J33" s="3" t="n">
        <v>20</v>
      </c>
      <c r="K33" s="3" t="n">
        <v>20</v>
      </c>
      <c r="L33" s="3" t="n">
        <v>5</v>
      </c>
      <c r="M33" s="3" t="n">
        <v>5</v>
      </c>
      <c r="N33" s="3">
        <f>F33*$B$5+G33*$B$6+H33*$B$7+I33*$B$8+J33*$B$9+K33*$B$10+L33*$B$11+M33*$B$12</f>
        <v/>
      </c>
      <c r="O33" s="3">
        <f>N33*設定!$B$2</f>
        <v/>
      </c>
      <c r="P33" s="3">
        <f>(D33-E33)*設定!$B$3-O33-((D33-E33)-O33)*設定!$B$4</f>
        <v/>
      </c>
      <c r="Q33" s="3">
        <f>D33*設定!$B$3-O33-(D33-O33)*設定!$B$4</f>
        <v/>
      </c>
      <c r="R33" s="3">
        <f>P33/C33</f>
        <v/>
      </c>
      <c r="S33" s="3">
        <f>Q33/C33</f>
        <v/>
      </c>
    </row>
    <row r="34">
      <c r="A34" t="inlineStr">
        <is>
          <t>S4-J-N0270211A</t>
        </is>
      </c>
      <c r="B34" t="inlineStr">
        <is>
          <t>2027/02/11</t>
        </is>
      </c>
      <c r="C34" t="n">
        <v>10</v>
      </c>
      <c r="D34" s="3" t="n">
        <v>531000</v>
      </c>
      <c r="E34" s="3" t="n">
        <v>0</v>
      </c>
      <c r="F34" s="3" t="n">
        <v>40</v>
      </c>
      <c r="G34" s="3" t="n">
        <v>0</v>
      </c>
      <c r="H34" s="3" t="n">
        <v>10</v>
      </c>
      <c r="I34" s="3" t="n">
        <v>10</v>
      </c>
      <c r="J34" s="3" t="n">
        <v>30</v>
      </c>
      <c r="K34" s="3" t="n">
        <v>30</v>
      </c>
      <c r="L34" s="3" t="n">
        <v>10</v>
      </c>
      <c r="M34" s="3" t="n">
        <v>10</v>
      </c>
      <c r="N34" s="3">
        <f>F34*$B$5+G34*$B$6+H34*$B$7+I34*$B$8+J34*$B$9+K34*$B$10+L34*$B$11+M34*$B$12</f>
        <v/>
      </c>
      <c r="O34" s="3">
        <f>N34*設定!$B$2</f>
        <v/>
      </c>
      <c r="P34" s="3">
        <f>(D34-E34)*設定!$B$3-O34-((D34-E34)-O34)*設定!$B$4</f>
        <v/>
      </c>
      <c r="Q34" s="3">
        <f>D34*設定!$B$3-O34-(D34-O34)*設定!$B$4</f>
        <v/>
      </c>
      <c r="R34" s="3">
        <f>P34/C34</f>
        <v/>
      </c>
      <c r="S34" s="3">
        <f>Q34/C34</f>
        <v/>
      </c>
    </row>
    <row r="35">
      <c r="A35" t="inlineStr">
        <is>
          <t>S4-J-N0270221A</t>
        </is>
      </c>
      <c r="B35" t="inlineStr">
        <is>
          <t>2027/02/21</t>
        </is>
      </c>
      <c r="C35" t="n">
        <v>5</v>
      </c>
      <c r="D35" s="3" t="n">
        <v>274500</v>
      </c>
      <c r="E35" s="3" t="n">
        <v>0</v>
      </c>
      <c r="F35" s="3" t="n">
        <v>20</v>
      </c>
      <c r="G35" s="3" t="n">
        <v>0</v>
      </c>
      <c r="H35" s="3" t="n">
        <v>5</v>
      </c>
      <c r="I35" s="3" t="n">
        <v>5</v>
      </c>
      <c r="J35" s="3" t="n">
        <v>15</v>
      </c>
      <c r="K35" s="3" t="n">
        <v>15</v>
      </c>
      <c r="L35" s="3" t="n">
        <v>5</v>
      </c>
      <c r="M35" s="3" t="n">
        <v>5</v>
      </c>
      <c r="N35" s="3">
        <f>F35*$B$5+G35*$B$6+H35*$B$7+I35*$B$8+J35*$B$9+K35*$B$10+L35*$B$11+M35*$B$12</f>
        <v/>
      </c>
      <c r="O35" s="3">
        <f>N35*設定!$B$2</f>
        <v/>
      </c>
      <c r="P35" s="3">
        <f>(D35-E35)*設定!$B$3-O35-((D35-E35)-O35)*設定!$B$4</f>
        <v/>
      </c>
      <c r="Q35" s="3">
        <f>D35*設定!$B$3-O35-(D35-O35)*設定!$B$4</f>
        <v/>
      </c>
      <c r="R35" s="3">
        <f>P35/C35</f>
        <v/>
      </c>
      <c r="S35" s="3">
        <f>Q35/C35</f>
        <v/>
      </c>
    </row>
    <row r="36">
      <c r="A36" t="inlineStr">
        <is>
          <t>S4-J-NT0261218A</t>
        </is>
      </c>
      <c r="B36" t="inlineStr">
        <is>
          <t>2026/12/18</t>
        </is>
      </c>
      <c r="C36" t="n">
        <v>7</v>
      </c>
      <c r="D36" s="3" t="n">
        <v>365600</v>
      </c>
      <c r="E36" s="3" t="n">
        <v>18800</v>
      </c>
      <c r="F36" s="3" t="n">
        <v>21</v>
      </c>
      <c r="G36" s="3" t="n">
        <v>7</v>
      </c>
      <c r="H36" s="3" t="n">
        <v>7</v>
      </c>
      <c r="I36" s="3" t="n">
        <v>7</v>
      </c>
      <c r="J36" s="3" t="n">
        <v>14</v>
      </c>
      <c r="K36" s="3" t="n">
        <v>14</v>
      </c>
      <c r="L36" s="3" t="n">
        <v>7</v>
      </c>
      <c r="M36" s="3" t="n">
        <v>7</v>
      </c>
      <c r="N36" s="3">
        <f>F36*$B$5+G36*$B$6+H36*$B$7+I36*$B$8+J36*$B$9+K36*$B$10+L36*$B$11+M36*$B$12</f>
        <v/>
      </c>
      <c r="O36" s="3">
        <f>N36*設定!$B$2</f>
        <v/>
      </c>
      <c r="P36" s="3">
        <f>(D36-E36)*設定!$B$3-O36-((D36-E36)-O36)*設定!$B$4</f>
        <v/>
      </c>
      <c r="Q36" s="3">
        <f>D36*設定!$B$3-O36-(D36-O36)*設定!$B$4</f>
        <v/>
      </c>
      <c r="R36" s="3">
        <f>P36/C36</f>
        <v/>
      </c>
      <c r="S36" s="3">
        <f>Q36/C36</f>
        <v/>
      </c>
    </row>
    <row r="37">
      <c r="A37" t="inlineStr">
        <is>
          <t>S4-J-NT0261219A</t>
        </is>
      </c>
      <c r="B37" t="inlineStr">
        <is>
          <t>2026/12/19</t>
        </is>
      </c>
      <c r="C37" t="n">
        <v>7</v>
      </c>
      <c r="D37" s="3" t="n">
        <v>334700</v>
      </c>
      <c r="E37" s="3" t="n">
        <v>20400</v>
      </c>
      <c r="F37" s="3" t="n">
        <v>21</v>
      </c>
      <c r="G37" s="3" t="n">
        <v>7</v>
      </c>
      <c r="H37" s="3" t="n">
        <v>7</v>
      </c>
      <c r="I37" s="3" t="n">
        <v>7</v>
      </c>
      <c r="J37" s="3" t="n">
        <v>14</v>
      </c>
      <c r="K37" s="3" t="n">
        <v>14</v>
      </c>
      <c r="L37" s="3" t="n">
        <v>7</v>
      </c>
      <c r="M37" s="3" t="n">
        <v>7</v>
      </c>
      <c r="N37" s="3">
        <f>F37*$B$5+G37*$B$6+H37*$B$7+I37*$B$8+J37*$B$9+K37*$B$10+L37*$B$11+M37*$B$12</f>
        <v/>
      </c>
      <c r="O37" s="3">
        <f>N37*設定!$B$2</f>
        <v/>
      </c>
      <c r="P37" s="3">
        <f>(D37-E37)*設定!$B$3-O37-((D37-E37)-O37)*設定!$B$4</f>
        <v/>
      </c>
      <c r="Q37" s="3">
        <f>D37*設定!$B$3-O37-(D37-O37)*設定!$B$4</f>
        <v/>
      </c>
      <c r="R37" s="3">
        <f>P37/C37</f>
        <v/>
      </c>
      <c r="S37" s="3">
        <f>Q37/C37</f>
        <v/>
      </c>
    </row>
    <row r="38">
      <c r="A38" t="inlineStr">
        <is>
          <t>S4-J-NT0261220A</t>
        </is>
      </c>
      <c r="B38" t="inlineStr">
        <is>
          <t>2026/12/20</t>
        </is>
      </c>
      <c r="C38" t="n">
        <v>2</v>
      </c>
      <c r="D38" s="3" t="n">
        <v>100120</v>
      </c>
      <c r="E38" s="3" t="n">
        <v>6400</v>
      </c>
      <c r="F38" s="3" t="n">
        <v>6</v>
      </c>
      <c r="G38" s="3" t="n">
        <v>2</v>
      </c>
      <c r="H38" s="3" t="n">
        <v>2</v>
      </c>
      <c r="I38" s="3" t="n">
        <v>2</v>
      </c>
      <c r="J38" s="3" t="n">
        <v>4</v>
      </c>
      <c r="K38" s="3" t="n">
        <v>4</v>
      </c>
      <c r="L38" s="3" t="n">
        <v>2</v>
      </c>
      <c r="M38" s="3" t="n">
        <v>2</v>
      </c>
      <c r="N38" s="3">
        <f>F38*$B$5+G38*$B$6+H38*$B$7+I38*$B$8+J38*$B$9+K38*$B$10+L38*$B$11+M38*$B$12</f>
        <v/>
      </c>
      <c r="O38" s="3">
        <f>N38*設定!$B$2</f>
        <v/>
      </c>
      <c r="P38" s="3">
        <f>(D38-E38)*設定!$B$3-O38-((D38-E38)-O38)*設定!$B$4</f>
        <v/>
      </c>
      <c r="Q38" s="3">
        <f>D38*設定!$B$3-O38-(D38-O38)*設定!$B$4</f>
        <v/>
      </c>
      <c r="R38" s="3">
        <f>P38/C38</f>
        <v/>
      </c>
      <c r="S38" s="3">
        <f>Q38/C38</f>
        <v/>
      </c>
    </row>
    <row r="39">
      <c r="A39" t="inlineStr">
        <is>
          <t>S4-J-NT0261221A</t>
        </is>
      </c>
      <c r="B39" t="inlineStr">
        <is>
          <t>2026/12/21</t>
        </is>
      </c>
      <c r="C39" t="n">
        <v>5</v>
      </c>
      <c r="D39" s="3" t="n">
        <v>370400</v>
      </c>
      <c r="E39" s="3" t="n">
        <v>7400</v>
      </c>
      <c r="F39" s="3" t="n">
        <v>23</v>
      </c>
      <c r="G39" s="3" t="n">
        <v>11</v>
      </c>
      <c r="H39" s="3" t="n">
        <v>5</v>
      </c>
      <c r="I39" s="3" t="n">
        <v>5</v>
      </c>
      <c r="J39" s="3" t="n">
        <v>18</v>
      </c>
      <c r="K39" s="3" t="n">
        <v>18</v>
      </c>
      <c r="L39" s="3" t="n">
        <v>5</v>
      </c>
      <c r="M39" s="3" t="n">
        <v>5</v>
      </c>
      <c r="N39" s="3">
        <f>F39*$B$5+G39*$B$6+H39*$B$7+I39*$B$8+J39*$B$9+K39*$B$10+L39*$B$11+M39*$B$12</f>
        <v/>
      </c>
      <c r="O39" s="3">
        <f>N39*設定!$B$2</f>
        <v/>
      </c>
      <c r="P39" s="3">
        <f>(D39-E39)*設定!$B$3-O39-((D39-E39)-O39)*設定!$B$4</f>
        <v/>
      </c>
      <c r="Q39" s="3">
        <f>D39*設定!$B$3-O39-(D39-O39)*設定!$B$4</f>
        <v/>
      </c>
      <c r="R39" s="3">
        <f>P39/C39</f>
        <v/>
      </c>
      <c r="S39" s="3">
        <f>Q39/C39</f>
        <v/>
      </c>
    </row>
    <row r="40">
      <c r="A40" t="inlineStr">
        <is>
          <t>S4-J-NT0261222A</t>
        </is>
      </c>
      <c r="B40" t="inlineStr">
        <is>
          <t>2026/12/22</t>
        </is>
      </c>
      <c r="C40" t="n">
        <v>4</v>
      </c>
      <c r="D40" s="3" t="n">
        <v>191200</v>
      </c>
      <c r="E40" s="3" t="n">
        <v>9600</v>
      </c>
      <c r="F40" s="3" t="n">
        <v>12</v>
      </c>
      <c r="G40" s="3" t="n">
        <v>4</v>
      </c>
      <c r="H40" s="3" t="n">
        <v>4</v>
      </c>
      <c r="I40" s="3" t="n">
        <v>4</v>
      </c>
      <c r="J40" s="3" t="n">
        <v>8</v>
      </c>
      <c r="K40" s="3" t="n">
        <v>8</v>
      </c>
      <c r="L40" s="3" t="n">
        <v>4</v>
      </c>
      <c r="M40" s="3" t="n">
        <v>4</v>
      </c>
      <c r="N40" s="3">
        <f>F40*$B$5+G40*$B$6+H40*$B$7+I40*$B$8+J40*$B$9+K40*$B$10+L40*$B$11+M40*$B$12</f>
        <v/>
      </c>
      <c r="O40" s="3">
        <f>N40*設定!$B$2</f>
        <v/>
      </c>
      <c r="P40" s="3">
        <f>(D40-E40)*設定!$B$3-O40-((D40-E40)-O40)*設定!$B$4</f>
        <v/>
      </c>
      <c r="Q40" s="3">
        <f>D40*設定!$B$3-O40-(D40-O40)*設定!$B$4</f>
        <v/>
      </c>
      <c r="R40" s="3">
        <f>P40/C40</f>
        <v/>
      </c>
      <c r="S40" s="3">
        <f>Q40/C40</f>
        <v/>
      </c>
    </row>
    <row r="41">
      <c r="A41" t="inlineStr">
        <is>
          <t>S4-J-NT0261223A</t>
        </is>
      </c>
      <c r="B41" t="inlineStr">
        <is>
          <t>2026/12/23</t>
        </is>
      </c>
      <c r="C41" t="n">
        <v>5</v>
      </c>
      <c r="D41" s="3" t="n">
        <v>236900</v>
      </c>
      <c r="E41" s="3" t="n">
        <v>10400</v>
      </c>
      <c r="F41" s="3" t="n">
        <v>15</v>
      </c>
      <c r="G41" s="3" t="n">
        <v>5</v>
      </c>
      <c r="H41" s="3" t="n">
        <v>5</v>
      </c>
      <c r="I41" s="3" t="n">
        <v>5</v>
      </c>
      <c r="J41" s="3" t="n">
        <v>10</v>
      </c>
      <c r="K41" s="3" t="n">
        <v>10</v>
      </c>
      <c r="L41" s="3" t="n">
        <v>5</v>
      </c>
      <c r="M41" s="3" t="n">
        <v>5</v>
      </c>
      <c r="N41" s="3">
        <f>F41*$B$5+G41*$B$6+H41*$B$7+I41*$B$8+J41*$B$9+K41*$B$10+L41*$B$11+M41*$B$12</f>
        <v/>
      </c>
      <c r="O41" s="3">
        <f>N41*設定!$B$2</f>
        <v/>
      </c>
      <c r="P41" s="3">
        <f>(D41-E41)*設定!$B$3-O41-((D41-E41)-O41)*設定!$B$4</f>
        <v/>
      </c>
      <c r="Q41" s="3">
        <f>D41*設定!$B$3-O41-(D41-O41)*設定!$B$4</f>
        <v/>
      </c>
      <c r="R41" s="3">
        <f>P41/C41</f>
        <v/>
      </c>
      <c r="S41" s="3">
        <f>Q41/C41</f>
        <v/>
      </c>
    </row>
    <row r="42">
      <c r="A42" t="inlineStr">
        <is>
          <t>S4-J-NT0261224A</t>
        </is>
      </c>
      <c r="B42" t="inlineStr">
        <is>
          <t>2026/12/24</t>
        </is>
      </c>
      <c r="C42" t="n">
        <v>2</v>
      </c>
      <c r="D42" s="3" t="n">
        <v>104200</v>
      </c>
      <c r="E42" s="3" t="n">
        <v>6400</v>
      </c>
      <c r="F42" s="3" t="n">
        <v>6</v>
      </c>
      <c r="G42" s="3" t="n">
        <v>2</v>
      </c>
      <c r="H42" s="3" t="n">
        <v>2</v>
      </c>
      <c r="I42" s="3" t="n">
        <v>2</v>
      </c>
      <c r="J42" s="3" t="n">
        <v>4</v>
      </c>
      <c r="K42" s="3" t="n">
        <v>4</v>
      </c>
      <c r="L42" s="3" t="n">
        <v>2</v>
      </c>
      <c r="M42" s="3" t="n">
        <v>2</v>
      </c>
      <c r="N42" s="3">
        <f>F42*$B$5+G42*$B$6+H42*$B$7+I42*$B$8+J42*$B$9+K42*$B$10+L42*$B$11+M42*$B$12</f>
        <v/>
      </c>
      <c r="O42" s="3">
        <f>N42*設定!$B$2</f>
        <v/>
      </c>
      <c r="P42" s="3">
        <f>(D42-E42)*設定!$B$3-O42-((D42-E42)-O42)*設定!$B$4</f>
        <v/>
      </c>
      <c r="Q42" s="3">
        <f>D42*設定!$B$3-O42-(D42-O42)*設定!$B$4</f>
        <v/>
      </c>
      <c r="R42" s="3">
        <f>P42/C42</f>
        <v/>
      </c>
      <c r="S42" s="3">
        <f>Q42/C42</f>
        <v/>
      </c>
    </row>
    <row r="43">
      <c r="A43" t="inlineStr">
        <is>
          <t>S4-J-NT0261225A</t>
        </is>
      </c>
      <c r="B43" t="inlineStr">
        <is>
          <t>2026/12/25</t>
        </is>
      </c>
      <c r="C43" t="n">
        <v>14</v>
      </c>
      <c r="D43" s="3" t="n">
        <v>734600</v>
      </c>
      <c r="E43" s="3" t="n">
        <v>34000</v>
      </c>
      <c r="F43" s="3" t="n">
        <v>42</v>
      </c>
      <c r="G43" s="3" t="n">
        <v>14</v>
      </c>
      <c r="H43" s="3" t="n">
        <v>14</v>
      </c>
      <c r="I43" s="3" t="n">
        <v>14</v>
      </c>
      <c r="J43" s="3" t="n">
        <v>28</v>
      </c>
      <c r="K43" s="3" t="n">
        <v>28</v>
      </c>
      <c r="L43" s="3" t="n">
        <v>14</v>
      </c>
      <c r="M43" s="3" t="n">
        <v>14</v>
      </c>
      <c r="N43" s="3">
        <f>F43*$B$5+G43*$B$6+H43*$B$7+I43*$B$8+J43*$B$9+K43*$B$10+L43*$B$11+M43*$B$12</f>
        <v/>
      </c>
      <c r="O43" s="3">
        <f>N43*設定!$B$2</f>
        <v/>
      </c>
      <c r="P43" s="3">
        <f>(D43-E43)*設定!$B$3-O43-((D43-E43)-O43)*設定!$B$4</f>
        <v/>
      </c>
      <c r="Q43" s="3">
        <f>D43*設定!$B$3-O43-(D43-O43)*設定!$B$4</f>
        <v/>
      </c>
      <c r="R43" s="3">
        <f>P43/C43</f>
        <v/>
      </c>
      <c r="S43" s="3">
        <f>Q43/C43</f>
        <v/>
      </c>
    </row>
    <row r="44">
      <c r="A44" t="inlineStr">
        <is>
          <t>S4-J-NT0261226A</t>
        </is>
      </c>
      <c r="B44" t="inlineStr">
        <is>
          <t>2026/12/26</t>
        </is>
      </c>
      <c r="C44" t="n">
        <v>7</v>
      </c>
      <c r="D44" s="3" t="n">
        <v>353100</v>
      </c>
      <c r="E44" s="3" t="n">
        <v>10800</v>
      </c>
      <c r="F44" s="3" t="n">
        <v>21</v>
      </c>
      <c r="G44" s="3" t="n">
        <v>7</v>
      </c>
      <c r="H44" s="3" t="n">
        <v>7</v>
      </c>
      <c r="I44" s="3" t="n">
        <v>7</v>
      </c>
      <c r="J44" s="3" t="n">
        <v>14</v>
      </c>
      <c r="K44" s="3" t="n">
        <v>14</v>
      </c>
      <c r="L44" s="3" t="n">
        <v>7</v>
      </c>
      <c r="M44" s="3" t="n">
        <v>7</v>
      </c>
      <c r="N44" s="3">
        <f>F44*$B$5+G44*$B$6+H44*$B$7+I44*$B$8+J44*$B$9+K44*$B$10+L44*$B$11+M44*$B$12</f>
        <v/>
      </c>
      <c r="O44" s="3">
        <f>N44*設定!$B$2</f>
        <v/>
      </c>
      <c r="P44" s="3">
        <f>(D44-E44)*設定!$B$3-O44-((D44-E44)-O44)*設定!$B$4</f>
        <v/>
      </c>
      <c r="Q44" s="3">
        <f>D44*設定!$B$3-O44-(D44-O44)*設定!$B$4</f>
        <v/>
      </c>
      <c r="R44" s="3">
        <f>P44/C44</f>
        <v/>
      </c>
      <c r="S44" s="3">
        <f>Q44/C44</f>
        <v/>
      </c>
    </row>
    <row r="45">
      <c r="A45" t="inlineStr">
        <is>
          <t>S4-J-NT0261227A</t>
        </is>
      </c>
      <c r="B45" t="inlineStr">
        <is>
          <t>2026/12/27</t>
        </is>
      </c>
      <c r="C45" t="n">
        <v>8</v>
      </c>
      <c r="D45" s="3" t="n">
        <v>423600</v>
      </c>
      <c r="E45" s="3" t="n">
        <v>6400</v>
      </c>
      <c r="F45" s="3" t="n">
        <v>26</v>
      </c>
      <c r="G45" s="3" t="n">
        <v>8</v>
      </c>
      <c r="H45" s="3" t="n">
        <v>8</v>
      </c>
      <c r="I45" s="3" t="n">
        <v>8</v>
      </c>
      <c r="J45" s="3" t="n">
        <v>18</v>
      </c>
      <c r="K45" s="3" t="n">
        <v>18</v>
      </c>
      <c r="L45" s="3" t="n">
        <v>8</v>
      </c>
      <c r="M45" s="3" t="n">
        <v>8</v>
      </c>
      <c r="N45" s="3">
        <f>F45*$B$5+G45*$B$6+H45*$B$7+I45*$B$8+J45*$B$9+K45*$B$10+L45*$B$11+M45*$B$12</f>
        <v/>
      </c>
      <c r="O45" s="3">
        <f>N45*設定!$B$2</f>
        <v/>
      </c>
      <c r="P45" s="3">
        <f>(D45-E45)*設定!$B$3-O45-((D45-E45)-O45)*設定!$B$4</f>
        <v/>
      </c>
      <c r="Q45" s="3">
        <f>D45*設定!$B$3-O45-(D45-O45)*設定!$B$4</f>
        <v/>
      </c>
      <c r="R45" s="3">
        <f>P45/C45</f>
        <v/>
      </c>
      <c r="S45" s="3">
        <f>Q45/C45</f>
        <v/>
      </c>
    </row>
    <row r="46">
      <c r="A46" t="inlineStr">
        <is>
          <t>S4-J-NT0261228A</t>
        </is>
      </c>
      <c r="B46" t="inlineStr">
        <is>
          <t>2026/12/28</t>
        </is>
      </c>
      <c r="C46" t="n">
        <v>1</v>
      </c>
      <c r="D46" s="3" t="n">
        <v>87900</v>
      </c>
      <c r="E46" s="3" t="n">
        <v>0</v>
      </c>
      <c r="F46" s="3" t="n">
        <v>5</v>
      </c>
      <c r="G46" s="3" t="n">
        <v>1</v>
      </c>
      <c r="H46" s="3" t="n">
        <v>1</v>
      </c>
      <c r="I46" s="3" t="n">
        <v>1</v>
      </c>
      <c r="J46" s="3" t="n">
        <v>4</v>
      </c>
      <c r="K46" s="3" t="n">
        <v>4</v>
      </c>
      <c r="L46" s="3" t="n">
        <v>1</v>
      </c>
      <c r="M46" s="3" t="n">
        <v>1</v>
      </c>
      <c r="N46" s="3">
        <f>F46*$B$5+G46*$B$6+H46*$B$7+I46*$B$8+J46*$B$9+K46*$B$10+L46*$B$11+M46*$B$12</f>
        <v/>
      </c>
      <c r="O46" s="3">
        <f>N46*設定!$B$2</f>
        <v/>
      </c>
      <c r="P46" s="3">
        <f>(D46-E46)*設定!$B$3-O46-((D46-E46)-O46)*設定!$B$4</f>
        <v/>
      </c>
      <c r="Q46" s="3">
        <f>D46*設定!$B$3-O46-(D46-O46)*設定!$B$4</f>
        <v/>
      </c>
      <c r="R46" s="3">
        <f>P46/C46</f>
        <v/>
      </c>
      <c r="S46" s="3">
        <f>Q46/C46</f>
        <v/>
      </c>
    </row>
    <row r="47">
      <c r="A47" t="inlineStr">
        <is>
          <t>S4-J-NT0261229A</t>
        </is>
      </c>
      <c r="B47" t="inlineStr">
        <is>
          <t>2026/12/29</t>
        </is>
      </c>
      <c r="C47" t="n">
        <v>5</v>
      </c>
      <c r="D47" s="3" t="n">
        <v>350500</v>
      </c>
      <c r="E47" s="3" t="n">
        <v>6000</v>
      </c>
      <c r="F47" s="3" t="n">
        <v>25</v>
      </c>
      <c r="G47" s="3" t="n">
        <v>5</v>
      </c>
      <c r="H47" s="3" t="n">
        <v>5</v>
      </c>
      <c r="I47" s="3" t="n">
        <v>5</v>
      </c>
      <c r="J47" s="3" t="n">
        <v>20</v>
      </c>
      <c r="K47" s="3" t="n">
        <v>20</v>
      </c>
      <c r="L47" s="3" t="n">
        <v>5</v>
      </c>
      <c r="M47" s="3" t="n">
        <v>5</v>
      </c>
      <c r="N47" s="3">
        <f>F47*$B$5+G47*$B$6+H47*$B$7+I47*$B$8+J47*$B$9+K47*$B$10+L47*$B$11+M47*$B$12</f>
        <v/>
      </c>
      <c r="O47" s="3">
        <f>N47*設定!$B$2</f>
        <v/>
      </c>
      <c r="P47" s="3">
        <f>(D47-E47)*設定!$B$3-O47-((D47-E47)-O47)*設定!$B$4</f>
        <v/>
      </c>
      <c r="Q47" s="3">
        <f>D47*設定!$B$3-O47-(D47-O47)*設定!$B$4</f>
        <v/>
      </c>
      <c r="R47" s="3">
        <f>P47/C47</f>
        <v/>
      </c>
      <c r="S47" s="3">
        <f>Q47/C47</f>
        <v/>
      </c>
    </row>
    <row r="48">
      <c r="A48" t="inlineStr">
        <is>
          <t>S4-J-NT0261230A</t>
        </is>
      </c>
      <c r="B48" t="inlineStr">
        <is>
          <t>2026/12/30</t>
        </is>
      </c>
      <c r="C48" t="n">
        <v>9</v>
      </c>
      <c r="D48" s="3" t="n">
        <v>473700</v>
      </c>
      <c r="E48" s="3" t="n">
        <v>13600</v>
      </c>
      <c r="F48" s="3" t="n">
        <v>27</v>
      </c>
      <c r="G48" s="3" t="n">
        <v>9</v>
      </c>
      <c r="H48" s="3" t="n">
        <v>9</v>
      </c>
      <c r="I48" s="3" t="n">
        <v>9</v>
      </c>
      <c r="J48" s="3" t="n">
        <v>18</v>
      </c>
      <c r="K48" s="3" t="n">
        <v>18</v>
      </c>
      <c r="L48" s="3" t="n">
        <v>9</v>
      </c>
      <c r="M48" s="3" t="n">
        <v>9</v>
      </c>
      <c r="N48" s="3">
        <f>F48*$B$5+G48*$B$6+H48*$B$7+I48*$B$8+J48*$B$9+K48*$B$10+L48*$B$11+M48*$B$12</f>
        <v/>
      </c>
      <c r="O48" s="3">
        <f>N48*設定!$B$2</f>
        <v/>
      </c>
      <c r="P48" s="3">
        <f>(D48-E48)*設定!$B$3-O48-((D48-E48)-O48)*設定!$B$4</f>
        <v/>
      </c>
      <c r="Q48" s="3">
        <f>D48*設定!$B$3-O48-(D48-O48)*設定!$B$4</f>
        <v/>
      </c>
      <c r="R48" s="3">
        <f>P48/C48</f>
        <v/>
      </c>
      <c r="S48" s="3">
        <f>Q48/C48</f>
        <v/>
      </c>
    </row>
    <row r="49">
      <c r="A49" t="inlineStr">
        <is>
          <t>S4-J-NT0261231A</t>
        </is>
      </c>
      <c r="B49" t="inlineStr">
        <is>
          <t>2026/12/31</t>
        </is>
      </c>
      <c r="C49" t="n">
        <v>4</v>
      </c>
      <c r="D49" s="3" t="n">
        <v>214000</v>
      </c>
      <c r="E49" s="3" t="n">
        <v>10400</v>
      </c>
      <c r="F49" s="3" t="n">
        <v>12</v>
      </c>
      <c r="G49" s="3" t="n">
        <v>6</v>
      </c>
      <c r="H49" s="3" t="n">
        <v>4</v>
      </c>
      <c r="I49" s="3" t="n">
        <v>4</v>
      </c>
      <c r="J49" s="3" t="n">
        <v>8</v>
      </c>
      <c r="K49" s="3" t="n">
        <v>8</v>
      </c>
      <c r="L49" s="3" t="n">
        <v>4</v>
      </c>
      <c r="M49" s="3" t="n">
        <v>4</v>
      </c>
      <c r="N49" s="3">
        <f>F49*$B$5+G49*$B$6+H49*$B$7+I49*$B$8+J49*$B$9+K49*$B$10+L49*$B$11+M49*$B$12</f>
        <v/>
      </c>
      <c r="O49" s="3">
        <f>N49*設定!$B$2</f>
        <v/>
      </c>
      <c r="P49" s="3">
        <f>(D49-E49)*設定!$B$3-O49-((D49-E49)-O49)*設定!$B$4</f>
        <v/>
      </c>
      <c r="Q49" s="3">
        <f>D49*設定!$B$3-O49-(D49-O49)*設定!$B$4</f>
        <v/>
      </c>
      <c r="R49" s="3">
        <f>P49/C49</f>
        <v/>
      </c>
      <c r="S49" s="3">
        <f>Q49/C49</f>
        <v/>
      </c>
    </row>
    <row r="50">
      <c r="A50" t="inlineStr">
        <is>
          <t>S4-J-NT0270101A</t>
        </is>
      </c>
      <c r="B50" t="inlineStr">
        <is>
          <t>2027/01/01</t>
        </is>
      </c>
      <c r="C50" t="n">
        <v>2</v>
      </c>
      <c r="D50" s="3" t="n">
        <v>97800</v>
      </c>
      <c r="E50" s="3" t="n">
        <v>0</v>
      </c>
      <c r="F50" s="3" t="n">
        <v>6</v>
      </c>
      <c r="G50" s="3" t="n">
        <v>2</v>
      </c>
      <c r="H50" s="3" t="n">
        <v>2</v>
      </c>
      <c r="I50" s="3" t="n">
        <v>2</v>
      </c>
      <c r="J50" s="3" t="n">
        <v>4</v>
      </c>
      <c r="K50" s="3" t="n">
        <v>4</v>
      </c>
      <c r="L50" s="3" t="n">
        <v>2</v>
      </c>
      <c r="M50" s="3" t="n">
        <v>2</v>
      </c>
      <c r="N50" s="3">
        <f>F50*$B$5+G50*$B$6+H50*$B$7+I50*$B$8+J50*$B$9+K50*$B$10+L50*$B$11+M50*$B$12</f>
        <v/>
      </c>
      <c r="O50" s="3">
        <f>N50*設定!$B$2</f>
        <v/>
      </c>
      <c r="P50" s="3">
        <f>(D50-E50)*設定!$B$3-O50-((D50-E50)-O50)*設定!$B$4</f>
        <v/>
      </c>
      <c r="Q50" s="3">
        <f>D50*設定!$B$3-O50-(D50-O50)*設定!$B$4</f>
        <v/>
      </c>
      <c r="R50" s="3">
        <f>P50/C50</f>
        <v/>
      </c>
      <c r="S50" s="3">
        <f>Q50/C50</f>
        <v/>
      </c>
    </row>
    <row r="51">
      <c r="A51" t="inlineStr">
        <is>
          <t>S4-J-NT0270103A</t>
        </is>
      </c>
      <c r="B51" t="inlineStr">
        <is>
          <t>2027/01/03</t>
        </is>
      </c>
      <c r="C51" t="n">
        <v>6</v>
      </c>
      <c r="D51" s="3" t="n">
        <v>363800</v>
      </c>
      <c r="E51" s="3" t="n">
        <v>16400</v>
      </c>
      <c r="F51" s="3" t="n">
        <v>24</v>
      </c>
      <c r="G51" s="3" t="n">
        <v>6</v>
      </c>
      <c r="H51" s="3" t="n">
        <v>6</v>
      </c>
      <c r="I51" s="3" t="n">
        <v>6</v>
      </c>
      <c r="J51" s="3" t="n">
        <v>18</v>
      </c>
      <c r="K51" s="3" t="n">
        <v>18</v>
      </c>
      <c r="L51" s="3" t="n">
        <v>6</v>
      </c>
      <c r="M51" s="3" t="n">
        <v>6</v>
      </c>
      <c r="N51" s="3">
        <f>F51*$B$5+G51*$B$6+H51*$B$7+I51*$B$8+J51*$B$9+K51*$B$10+L51*$B$11+M51*$B$12</f>
        <v/>
      </c>
      <c r="O51" s="3">
        <f>N51*設定!$B$2</f>
        <v/>
      </c>
      <c r="P51" s="3">
        <f>(D51-E51)*設定!$B$3-O51-((D51-E51)-O51)*設定!$B$4</f>
        <v/>
      </c>
      <c r="Q51" s="3">
        <f>D51*設定!$B$3-O51-(D51-O51)*設定!$B$4</f>
        <v/>
      </c>
      <c r="R51" s="3">
        <f>P51/C51</f>
        <v/>
      </c>
      <c r="S51" s="3">
        <f>Q51/C51</f>
        <v/>
      </c>
    </row>
    <row r="52">
      <c r="A52" t="inlineStr">
        <is>
          <t>S4-J-NT0270104A</t>
        </is>
      </c>
      <c r="B52" t="inlineStr">
        <is>
          <t>2027/01/04</t>
        </is>
      </c>
      <c r="C52" t="n">
        <v>26</v>
      </c>
      <c r="D52" s="3" t="n">
        <v>1320400</v>
      </c>
      <c r="E52" s="3" t="n">
        <v>47000</v>
      </c>
      <c r="F52" s="3" t="n">
        <v>80</v>
      </c>
      <c r="G52" s="3" t="n">
        <v>28</v>
      </c>
      <c r="H52" s="3" t="n">
        <v>26</v>
      </c>
      <c r="I52" s="3" t="n">
        <v>26</v>
      </c>
      <c r="J52" s="3" t="n">
        <v>60</v>
      </c>
      <c r="K52" s="3" t="n">
        <v>60</v>
      </c>
      <c r="L52" s="3" t="n">
        <v>26</v>
      </c>
      <c r="M52" s="3" t="n">
        <v>26</v>
      </c>
      <c r="N52" s="3">
        <f>F52*$B$5+G52*$B$6+H52*$B$7+I52*$B$8+J52*$B$9+K52*$B$10+L52*$B$11+M52*$B$12</f>
        <v/>
      </c>
      <c r="O52" s="3">
        <f>N52*設定!$B$2</f>
        <v/>
      </c>
      <c r="P52" s="3">
        <f>(D52-E52)*設定!$B$3-O52-((D52-E52)-O52)*設定!$B$4</f>
        <v/>
      </c>
      <c r="Q52" s="3">
        <f>D52*設定!$B$3-O52-(D52-O52)*設定!$B$4</f>
        <v/>
      </c>
      <c r="R52" s="3">
        <f>P52/C52</f>
        <v/>
      </c>
      <c r="S52" s="3">
        <f>Q52/C52</f>
        <v/>
      </c>
    </row>
    <row r="53">
      <c r="A53" t="inlineStr">
        <is>
          <t>S4-J-NT0270105A</t>
        </is>
      </c>
      <c r="B53" t="inlineStr">
        <is>
          <t>2027/01/05</t>
        </is>
      </c>
      <c r="C53" t="n">
        <v>4</v>
      </c>
      <c r="D53" s="3" t="n">
        <v>222200</v>
      </c>
      <c r="E53" s="3" t="n">
        <v>14600</v>
      </c>
      <c r="F53" s="3" t="n">
        <v>14</v>
      </c>
      <c r="G53" s="3" t="n">
        <v>4</v>
      </c>
      <c r="H53" s="3" t="n">
        <v>4</v>
      </c>
      <c r="I53" s="3" t="n">
        <v>4</v>
      </c>
      <c r="J53" s="3" t="n">
        <v>10</v>
      </c>
      <c r="K53" s="3" t="n">
        <v>10</v>
      </c>
      <c r="L53" s="3" t="n">
        <v>4</v>
      </c>
      <c r="M53" s="3" t="n">
        <v>4</v>
      </c>
      <c r="N53" s="3">
        <f>F53*$B$5+G53*$B$6+H53*$B$7+I53*$B$8+J53*$B$9+K53*$B$10+L53*$B$11+M53*$B$12</f>
        <v/>
      </c>
      <c r="O53" s="3">
        <f>N53*設定!$B$2</f>
        <v/>
      </c>
      <c r="P53" s="3">
        <f>(D53-E53)*設定!$B$3-O53-((D53-E53)-O53)*設定!$B$4</f>
        <v/>
      </c>
      <c r="Q53" s="3">
        <f>D53*設定!$B$3-O53-(D53-O53)*設定!$B$4</f>
        <v/>
      </c>
      <c r="R53" s="3">
        <f>P53/C53</f>
        <v/>
      </c>
      <c r="S53" s="3">
        <f>Q53/C53</f>
        <v/>
      </c>
    </row>
    <row r="54">
      <c r="A54" t="inlineStr">
        <is>
          <t>S4-J-NT0270106A</t>
        </is>
      </c>
      <c r="B54" t="inlineStr">
        <is>
          <t>2027/01/06</t>
        </is>
      </c>
      <c r="C54" t="n">
        <v>10</v>
      </c>
      <c r="D54" s="3" t="n">
        <v>497200</v>
      </c>
      <c r="E54" s="3" t="n">
        <v>25200</v>
      </c>
      <c r="F54" s="3" t="n">
        <v>32</v>
      </c>
      <c r="G54" s="3" t="n">
        <v>10</v>
      </c>
      <c r="H54" s="3" t="n">
        <v>10</v>
      </c>
      <c r="I54" s="3" t="n">
        <v>10</v>
      </c>
      <c r="J54" s="3" t="n">
        <v>22</v>
      </c>
      <c r="K54" s="3" t="n">
        <v>22</v>
      </c>
      <c r="L54" s="3" t="n">
        <v>10</v>
      </c>
      <c r="M54" s="3" t="n">
        <v>10</v>
      </c>
      <c r="N54" s="3">
        <f>F54*$B$5+G54*$B$6+H54*$B$7+I54*$B$8+J54*$B$9+K54*$B$10+L54*$B$11+M54*$B$12</f>
        <v/>
      </c>
      <c r="O54" s="3">
        <f>N54*設定!$B$2</f>
        <v/>
      </c>
      <c r="P54" s="3">
        <f>(D54-E54)*設定!$B$3-O54-((D54-E54)-O54)*設定!$B$4</f>
        <v/>
      </c>
      <c r="Q54" s="3">
        <f>D54*設定!$B$3-O54-(D54-O54)*設定!$B$4</f>
        <v/>
      </c>
      <c r="R54" s="3">
        <f>P54/C54</f>
        <v/>
      </c>
      <c r="S54" s="3">
        <f>Q54/C54</f>
        <v/>
      </c>
    </row>
    <row r="55">
      <c r="A55" t="inlineStr">
        <is>
          <t>S4-J-NT0270107A</t>
        </is>
      </c>
      <c r="B55" t="inlineStr">
        <is>
          <t>2027/01/07</t>
        </is>
      </c>
      <c r="C55" t="n">
        <v>4</v>
      </c>
      <c r="D55" s="3" t="n">
        <v>208400</v>
      </c>
      <c r="E55" s="3" t="n">
        <v>12800</v>
      </c>
      <c r="F55" s="3" t="n">
        <v>12</v>
      </c>
      <c r="G55" s="3" t="n">
        <v>4</v>
      </c>
      <c r="H55" s="3" t="n">
        <v>4</v>
      </c>
      <c r="I55" s="3" t="n">
        <v>4</v>
      </c>
      <c r="J55" s="3" t="n">
        <v>8</v>
      </c>
      <c r="K55" s="3" t="n">
        <v>8</v>
      </c>
      <c r="L55" s="3" t="n">
        <v>4</v>
      </c>
      <c r="M55" s="3" t="n">
        <v>4</v>
      </c>
      <c r="N55" s="3">
        <f>F55*$B$5+G55*$B$6+H55*$B$7+I55*$B$8+J55*$B$9+K55*$B$10+L55*$B$11+M55*$B$12</f>
        <v/>
      </c>
      <c r="O55" s="3">
        <f>N55*設定!$B$2</f>
        <v/>
      </c>
      <c r="P55" s="3">
        <f>(D55-E55)*設定!$B$3-O55-((D55-E55)-O55)*設定!$B$4</f>
        <v/>
      </c>
      <c r="Q55" s="3">
        <f>D55*設定!$B$3-O55-(D55-O55)*設定!$B$4</f>
        <v/>
      </c>
      <c r="R55" s="3">
        <f>P55/C55</f>
        <v/>
      </c>
      <c r="S55" s="3">
        <f>Q55/C55</f>
        <v/>
      </c>
    </row>
    <row r="56">
      <c r="A56" t="inlineStr">
        <is>
          <t>S4-J-NT0270109A</t>
        </is>
      </c>
      <c r="B56" t="inlineStr">
        <is>
          <t>2027/01/09</t>
        </is>
      </c>
      <c r="C56" t="n">
        <v>5</v>
      </c>
      <c r="D56" s="3" t="n">
        <v>273400</v>
      </c>
      <c r="E56" s="3" t="n">
        <v>6400</v>
      </c>
      <c r="F56" s="3" t="n">
        <v>15</v>
      </c>
      <c r="G56" s="3" t="n">
        <v>5</v>
      </c>
      <c r="H56" s="3" t="n">
        <v>5</v>
      </c>
      <c r="I56" s="3" t="n">
        <v>5</v>
      </c>
      <c r="J56" s="3" t="n">
        <v>10</v>
      </c>
      <c r="K56" s="3" t="n">
        <v>10</v>
      </c>
      <c r="L56" s="3" t="n">
        <v>5</v>
      </c>
      <c r="M56" s="3" t="n">
        <v>5</v>
      </c>
      <c r="N56" s="3">
        <f>F56*$B$5+G56*$B$6+H56*$B$7+I56*$B$8+J56*$B$9+K56*$B$10+L56*$B$11+M56*$B$12</f>
        <v/>
      </c>
      <c r="O56" s="3">
        <f>N56*設定!$B$2</f>
        <v/>
      </c>
      <c r="P56" s="3">
        <f>(D56-E56)*設定!$B$3-O56-((D56-E56)-O56)*設定!$B$4</f>
        <v/>
      </c>
      <c r="Q56" s="3">
        <f>D56*設定!$B$3-O56-(D56-O56)*設定!$B$4</f>
        <v/>
      </c>
      <c r="R56" s="3">
        <f>P56/C56</f>
        <v/>
      </c>
      <c r="S56" s="3">
        <f>Q56/C56</f>
        <v/>
      </c>
    </row>
    <row r="57">
      <c r="A57" t="inlineStr">
        <is>
          <t>S4-J-NT0270110A</t>
        </is>
      </c>
      <c r="B57" t="inlineStr">
        <is>
          <t>2027/01/10</t>
        </is>
      </c>
      <c r="C57" t="n">
        <v>3</v>
      </c>
      <c r="D57" s="3" t="n">
        <v>196900</v>
      </c>
      <c r="E57" s="3" t="n">
        <v>9200</v>
      </c>
      <c r="F57" s="3" t="n">
        <v>11</v>
      </c>
      <c r="G57" s="3" t="n">
        <v>3</v>
      </c>
      <c r="H57" s="3" t="n">
        <v>3</v>
      </c>
      <c r="I57" s="3" t="n">
        <v>3</v>
      </c>
      <c r="J57" s="3" t="n">
        <v>8</v>
      </c>
      <c r="K57" s="3" t="n">
        <v>8</v>
      </c>
      <c r="L57" s="3" t="n">
        <v>3</v>
      </c>
      <c r="M57" s="3" t="n">
        <v>3</v>
      </c>
      <c r="N57" s="3">
        <f>F57*$B$5+G57*$B$6+H57*$B$7+I57*$B$8+J57*$B$9+K57*$B$10+L57*$B$11+M57*$B$12</f>
        <v/>
      </c>
      <c r="O57" s="3">
        <f>N57*設定!$B$2</f>
        <v/>
      </c>
      <c r="P57" s="3">
        <f>(D57-E57)*設定!$B$3-O57-((D57-E57)-O57)*設定!$B$4</f>
        <v/>
      </c>
      <c r="Q57" s="3">
        <f>D57*設定!$B$3-O57-(D57-O57)*設定!$B$4</f>
        <v/>
      </c>
      <c r="R57" s="3">
        <f>P57/C57</f>
        <v/>
      </c>
      <c r="S57" s="3">
        <f>Q57/C57</f>
        <v/>
      </c>
    </row>
    <row r="58">
      <c r="A58" t="inlineStr">
        <is>
          <t>S4-J-NT0270111A</t>
        </is>
      </c>
      <c r="B58" t="inlineStr">
        <is>
          <t>2027/01/11</t>
        </is>
      </c>
      <c r="C58" t="n">
        <v>12</v>
      </c>
      <c r="D58" s="3" t="n">
        <v>658200</v>
      </c>
      <c r="E58" s="3" t="n">
        <v>30400</v>
      </c>
      <c r="F58" s="3" t="n">
        <v>40</v>
      </c>
      <c r="G58" s="3" t="n">
        <v>20</v>
      </c>
      <c r="H58" s="3" t="n">
        <v>12</v>
      </c>
      <c r="I58" s="3" t="n">
        <v>12</v>
      </c>
      <c r="J58" s="3" t="n">
        <v>28</v>
      </c>
      <c r="K58" s="3" t="n">
        <v>28</v>
      </c>
      <c r="L58" s="3" t="n">
        <v>12</v>
      </c>
      <c r="M58" s="3" t="n">
        <v>12</v>
      </c>
      <c r="N58" s="3">
        <f>F58*$B$5+G58*$B$6+H58*$B$7+I58*$B$8+J58*$B$9+K58*$B$10+L58*$B$11+M58*$B$12</f>
        <v/>
      </c>
      <c r="O58" s="3">
        <f>N58*設定!$B$2</f>
        <v/>
      </c>
      <c r="P58" s="3">
        <f>(D58-E58)*設定!$B$3-O58-((D58-E58)-O58)*設定!$B$4</f>
        <v/>
      </c>
      <c r="Q58" s="3">
        <f>D58*設定!$B$3-O58-(D58-O58)*設定!$B$4</f>
        <v/>
      </c>
      <c r="R58" s="3">
        <f>P58/C58</f>
        <v/>
      </c>
      <c r="S58" s="3">
        <f>Q58/C58</f>
        <v/>
      </c>
    </row>
    <row r="59">
      <c r="A59" t="inlineStr">
        <is>
          <t>S4-J-NT0270113A</t>
        </is>
      </c>
      <c r="B59" t="inlineStr">
        <is>
          <t>2027/01/13</t>
        </is>
      </c>
      <c r="C59" t="n">
        <v>4</v>
      </c>
      <c r="D59" s="3" t="n">
        <v>232400</v>
      </c>
      <c r="E59" s="3" t="n">
        <v>12400</v>
      </c>
      <c r="F59" s="3" t="n">
        <v>14</v>
      </c>
      <c r="G59" s="3" t="n">
        <v>4</v>
      </c>
      <c r="H59" s="3" t="n">
        <v>4</v>
      </c>
      <c r="I59" s="3" t="n">
        <v>4</v>
      </c>
      <c r="J59" s="3" t="n">
        <v>10</v>
      </c>
      <c r="K59" s="3" t="n">
        <v>10</v>
      </c>
      <c r="L59" s="3" t="n">
        <v>4</v>
      </c>
      <c r="M59" s="3" t="n">
        <v>4</v>
      </c>
      <c r="N59" s="3">
        <f>F59*$B$5+G59*$B$6+H59*$B$7+I59*$B$8+J59*$B$9+K59*$B$10+L59*$B$11+M59*$B$12</f>
        <v/>
      </c>
      <c r="O59" s="3">
        <f>N59*設定!$B$2</f>
        <v/>
      </c>
      <c r="P59" s="3">
        <f>(D59-E59)*設定!$B$3-O59-((D59-E59)-O59)*設定!$B$4</f>
        <v/>
      </c>
      <c r="Q59" s="3">
        <f>D59*設定!$B$3-O59-(D59-O59)*設定!$B$4</f>
        <v/>
      </c>
      <c r="R59" s="3">
        <f>P59/C59</f>
        <v/>
      </c>
      <c r="S59" s="3">
        <f>Q59/C59</f>
        <v/>
      </c>
    </row>
    <row r="60">
      <c r="A60" t="inlineStr">
        <is>
          <t>S4-J-NT0270114A</t>
        </is>
      </c>
      <c r="B60" t="inlineStr">
        <is>
          <t>2027/01/14</t>
        </is>
      </c>
      <c r="C60" t="n">
        <v>18</v>
      </c>
      <c r="D60" s="3" t="n">
        <v>955800</v>
      </c>
      <c r="E60" s="3" t="n">
        <v>43600</v>
      </c>
      <c r="F60" s="3" t="n">
        <v>54</v>
      </c>
      <c r="G60" s="3" t="n">
        <v>18</v>
      </c>
      <c r="H60" s="3" t="n">
        <v>18</v>
      </c>
      <c r="I60" s="3" t="n">
        <v>18</v>
      </c>
      <c r="J60" s="3" t="n">
        <v>36</v>
      </c>
      <c r="K60" s="3" t="n">
        <v>36</v>
      </c>
      <c r="L60" s="3" t="n">
        <v>18</v>
      </c>
      <c r="M60" s="3" t="n">
        <v>18</v>
      </c>
      <c r="N60" s="3">
        <f>F60*$B$5+G60*$B$6+H60*$B$7+I60*$B$8+J60*$B$9+K60*$B$10+L60*$B$11+M60*$B$12</f>
        <v/>
      </c>
      <c r="O60" s="3">
        <f>N60*設定!$B$2</f>
        <v/>
      </c>
      <c r="P60" s="3">
        <f>(D60-E60)*設定!$B$3-O60-((D60-E60)-O60)*設定!$B$4</f>
        <v/>
      </c>
      <c r="Q60" s="3">
        <f>D60*設定!$B$3-O60-(D60-O60)*設定!$B$4</f>
        <v/>
      </c>
      <c r="R60" s="3">
        <f>P60/C60</f>
        <v/>
      </c>
      <c r="S60" s="3">
        <f>Q60/C60</f>
        <v/>
      </c>
    </row>
    <row r="61">
      <c r="A61" t="inlineStr">
        <is>
          <t>S4-J-NT0270116A</t>
        </is>
      </c>
      <c r="B61" t="inlineStr">
        <is>
          <t>2027/01/16</t>
        </is>
      </c>
      <c r="C61" t="n">
        <v>22</v>
      </c>
      <c r="D61" s="3" t="n">
        <v>1187400</v>
      </c>
      <c r="E61" s="3" t="n">
        <v>33600</v>
      </c>
      <c r="F61" s="3" t="n">
        <v>78</v>
      </c>
      <c r="G61" s="3" t="n">
        <v>26</v>
      </c>
      <c r="H61" s="3" t="n">
        <v>22</v>
      </c>
      <c r="I61" s="3" t="n">
        <v>22</v>
      </c>
      <c r="J61" s="3" t="n">
        <v>56</v>
      </c>
      <c r="K61" s="3" t="n">
        <v>56</v>
      </c>
      <c r="L61" s="3" t="n">
        <v>22</v>
      </c>
      <c r="M61" s="3" t="n">
        <v>22</v>
      </c>
      <c r="N61" s="3">
        <f>F61*$B$5+G61*$B$6+H61*$B$7+I61*$B$8+J61*$B$9+K61*$B$10+L61*$B$11+M61*$B$12</f>
        <v/>
      </c>
      <c r="O61" s="3">
        <f>N61*設定!$B$2</f>
        <v/>
      </c>
      <c r="P61" s="3">
        <f>(D61-E61)*設定!$B$3-O61-((D61-E61)-O61)*設定!$B$4</f>
        <v/>
      </c>
      <c r="Q61" s="3">
        <f>D61*設定!$B$3-O61-(D61-O61)*設定!$B$4</f>
        <v/>
      </c>
      <c r="R61" s="3">
        <f>P61/C61</f>
        <v/>
      </c>
      <c r="S61" s="3">
        <f>Q61/C61</f>
        <v/>
      </c>
    </row>
    <row r="62">
      <c r="A62" t="inlineStr">
        <is>
          <t>S4-J-NT0270117A</t>
        </is>
      </c>
      <c r="B62" t="inlineStr">
        <is>
          <t>2027/01/17</t>
        </is>
      </c>
      <c r="C62" t="n">
        <v>7</v>
      </c>
      <c r="D62" s="3" t="n">
        <v>416900</v>
      </c>
      <c r="E62" s="3" t="n">
        <v>7600</v>
      </c>
      <c r="F62" s="3" t="n">
        <v>28</v>
      </c>
      <c r="G62" s="3" t="n">
        <v>7</v>
      </c>
      <c r="H62" s="3" t="n">
        <v>7</v>
      </c>
      <c r="I62" s="3" t="n">
        <v>7</v>
      </c>
      <c r="J62" s="3" t="n">
        <v>21</v>
      </c>
      <c r="K62" s="3" t="n">
        <v>21</v>
      </c>
      <c r="L62" s="3" t="n">
        <v>7</v>
      </c>
      <c r="M62" s="3" t="n">
        <v>7</v>
      </c>
      <c r="N62" s="3">
        <f>F62*$B$5+G62*$B$6+H62*$B$7+I62*$B$8+J62*$B$9+K62*$B$10+L62*$B$11+M62*$B$12</f>
        <v/>
      </c>
      <c r="O62" s="3">
        <f>N62*設定!$B$2</f>
        <v/>
      </c>
      <c r="P62" s="3">
        <f>(D62-E62)*設定!$B$3-O62-((D62-E62)-O62)*設定!$B$4</f>
        <v/>
      </c>
      <c r="Q62" s="3">
        <f>D62*設定!$B$3-O62-(D62-O62)*設定!$B$4</f>
        <v/>
      </c>
      <c r="R62" s="3">
        <f>P62/C62</f>
        <v/>
      </c>
      <c r="S62" s="3">
        <f>Q62/C62</f>
        <v/>
      </c>
    </row>
    <row r="63">
      <c r="A63" t="inlineStr">
        <is>
          <t>S4-J-NT0270118A</t>
        </is>
      </c>
      <c r="B63" t="inlineStr">
        <is>
          <t>2027/01/18</t>
        </is>
      </c>
      <c r="C63" t="n">
        <v>1</v>
      </c>
      <c r="D63" s="3" t="n">
        <v>72600</v>
      </c>
      <c r="E63" s="3" t="n">
        <v>3200</v>
      </c>
      <c r="F63" s="3" t="n">
        <v>3</v>
      </c>
      <c r="G63" s="3" t="n">
        <v>1</v>
      </c>
      <c r="H63" s="3" t="n">
        <v>1</v>
      </c>
      <c r="I63" s="3" t="n">
        <v>1</v>
      </c>
      <c r="J63" s="3" t="n">
        <v>2</v>
      </c>
      <c r="K63" s="3" t="n">
        <v>2</v>
      </c>
      <c r="L63" s="3" t="n">
        <v>1</v>
      </c>
      <c r="M63" s="3" t="n">
        <v>1</v>
      </c>
      <c r="N63" s="3">
        <f>F63*$B$5+G63*$B$6+H63*$B$7+I63*$B$8+J63*$B$9+K63*$B$10+L63*$B$11+M63*$B$12</f>
        <v/>
      </c>
      <c r="O63" s="3">
        <f>N63*設定!$B$2</f>
        <v/>
      </c>
      <c r="P63" s="3">
        <f>(D63-E63)*設定!$B$3-O63-((D63-E63)-O63)*設定!$B$4</f>
        <v/>
      </c>
      <c r="Q63" s="3">
        <f>D63*設定!$B$3-O63-(D63-O63)*設定!$B$4</f>
        <v/>
      </c>
      <c r="R63" s="3">
        <f>P63/C63</f>
        <v/>
      </c>
      <c r="S63" s="3">
        <f>Q63/C63</f>
        <v/>
      </c>
    </row>
    <row r="64">
      <c r="A64" t="inlineStr">
        <is>
          <t>S4-J-NT0270119A</t>
        </is>
      </c>
      <c r="B64" t="inlineStr">
        <is>
          <t>2027/01/19</t>
        </is>
      </c>
      <c r="C64" t="n">
        <v>4</v>
      </c>
      <c r="D64" s="3" t="n">
        <v>255000</v>
      </c>
      <c r="E64" s="3" t="n">
        <v>6400</v>
      </c>
      <c r="F64" s="3" t="n">
        <v>12</v>
      </c>
      <c r="G64" s="3" t="n">
        <v>4</v>
      </c>
      <c r="H64" s="3" t="n">
        <v>4</v>
      </c>
      <c r="I64" s="3" t="n">
        <v>4</v>
      </c>
      <c r="J64" s="3" t="n">
        <v>10</v>
      </c>
      <c r="K64" s="3" t="n">
        <v>10</v>
      </c>
      <c r="L64" s="3" t="n">
        <v>4</v>
      </c>
      <c r="M64" s="3" t="n">
        <v>4</v>
      </c>
      <c r="N64" s="3">
        <f>F64*$B$5+G64*$B$6+H64*$B$7+I64*$B$8+J64*$B$9+K64*$B$10+L64*$B$11+M64*$B$12</f>
        <v/>
      </c>
      <c r="O64" s="3">
        <f>N64*設定!$B$2</f>
        <v/>
      </c>
      <c r="P64" s="3">
        <f>(D64-E64)*設定!$B$3-O64-((D64-E64)-O64)*設定!$B$4</f>
        <v/>
      </c>
      <c r="Q64" s="3">
        <f>D64*設定!$B$3-O64-(D64-O64)*設定!$B$4</f>
        <v/>
      </c>
      <c r="R64" s="3">
        <f>P64/C64</f>
        <v/>
      </c>
      <c r="S64" s="3">
        <f>Q64/C64</f>
        <v/>
      </c>
    </row>
    <row r="65">
      <c r="A65" t="inlineStr">
        <is>
          <t>S4-J-NT0270120A</t>
        </is>
      </c>
      <c r="B65" t="inlineStr">
        <is>
          <t>2027/01/20</t>
        </is>
      </c>
      <c r="C65" t="n">
        <v>10</v>
      </c>
      <c r="D65" s="3" t="n">
        <v>528220</v>
      </c>
      <c r="E65" s="3" t="n">
        <v>25600</v>
      </c>
      <c r="F65" s="3" t="n">
        <v>31</v>
      </c>
      <c r="G65" s="3" t="n">
        <v>10</v>
      </c>
      <c r="H65" s="3" t="n">
        <v>10</v>
      </c>
      <c r="I65" s="3" t="n">
        <v>10</v>
      </c>
      <c r="J65" s="3" t="n">
        <v>21</v>
      </c>
      <c r="K65" s="3" t="n">
        <v>21</v>
      </c>
      <c r="L65" s="3" t="n">
        <v>10</v>
      </c>
      <c r="M65" s="3" t="n">
        <v>10</v>
      </c>
      <c r="N65" s="3">
        <f>F65*$B$5+G65*$B$6+H65*$B$7+I65*$B$8+J65*$B$9+K65*$B$10+L65*$B$11+M65*$B$12</f>
        <v/>
      </c>
      <c r="O65" s="3">
        <f>N65*設定!$B$2</f>
        <v/>
      </c>
      <c r="P65" s="3">
        <f>(D65-E65)*設定!$B$3-O65-((D65-E65)-O65)*設定!$B$4</f>
        <v/>
      </c>
      <c r="Q65" s="3">
        <f>D65*設定!$B$3-O65-(D65-O65)*設定!$B$4</f>
        <v/>
      </c>
      <c r="R65" s="3">
        <f>P65/C65</f>
        <v/>
      </c>
      <c r="S65" s="3">
        <f>Q65/C65</f>
        <v/>
      </c>
    </row>
    <row r="66">
      <c r="A66" t="inlineStr">
        <is>
          <t>S4-J-NT0270121A</t>
        </is>
      </c>
      <c r="B66" t="inlineStr">
        <is>
          <t>2027/01/21</t>
        </is>
      </c>
      <c r="C66" t="n">
        <v>8</v>
      </c>
      <c r="D66" s="3" t="n">
        <v>532000</v>
      </c>
      <c r="E66" s="3" t="n">
        <v>12800</v>
      </c>
      <c r="F66" s="3" t="n">
        <v>32</v>
      </c>
      <c r="G66" s="3" t="n">
        <v>8</v>
      </c>
      <c r="H66" s="3" t="n">
        <v>8</v>
      </c>
      <c r="I66" s="3" t="n">
        <v>8</v>
      </c>
      <c r="J66" s="3" t="n">
        <v>24</v>
      </c>
      <c r="K66" s="3" t="n">
        <v>24</v>
      </c>
      <c r="L66" s="3" t="n">
        <v>8</v>
      </c>
      <c r="M66" s="3" t="n">
        <v>8</v>
      </c>
      <c r="N66" s="3">
        <f>F66*$B$5+G66*$B$6+H66*$B$7+I66*$B$8+J66*$B$9+K66*$B$10+L66*$B$11+M66*$B$12</f>
        <v/>
      </c>
      <c r="O66" s="3">
        <f>N66*設定!$B$2</f>
        <v/>
      </c>
      <c r="P66" s="3">
        <f>(D66-E66)*設定!$B$3-O66-((D66-E66)-O66)*設定!$B$4</f>
        <v/>
      </c>
      <c r="Q66" s="3">
        <f>D66*設定!$B$3-O66-(D66-O66)*設定!$B$4</f>
        <v/>
      </c>
      <c r="R66" s="3">
        <f>P66/C66</f>
        <v/>
      </c>
      <c r="S66" s="3">
        <f>Q66/C66</f>
        <v/>
      </c>
    </row>
    <row r="67">
      <c r="A67" t="inlineStr">
        <is>
          <t>S4-J-NT0270122A</t>
        </is>
      </c>
      <c r="B67" t="inlineStr">
        <is>
          <t>2027/01/22</t>
        </is>
      </c>
      <c r="C67" t="n">
        <v>6</v>
      </c>
      <c r="D67" s="3" t="n">
        <v>401400</v>
      </c>
      <c r="E67" s="3" t="n">
        <v>6000</v>
      </c>
      <c r="F67" s="3" t="n">
        <v>24</v>
      </c>
      <c r="G67" s="3" t="n">
        <v>6</v>
      </c>
      <c r="H67" s="3" t="n">
        <v>6</v>
      </c>
      <c r="I67" s="3" t="n">
        <v>6</v>
      </c>
      <c r="J67" s="3" t="n">
        <v>18</v>
      </c>
      <c r="K67" s="3" t="n">
        <v>18</v>
      </c>
      <c r="L67" s="3" t="n">
        <v>6</v>
      </c>
      <c r="M67" s="3" t="n">
        <v>6</v>
      </c>
      <c r="N67" s="3">
        <f>F67*$B$5+G67*$B$6+H67*$B$7+I67*$B$8+J67*$B$9+K67*$B$10+L67*$B$11+M67*$B$12</f>
        <v/>
      </c>
      <c r="O67" s="3">
        <f>N67*設定!$B$2</f>
        <v/>
      </c>
      <c r="P67" s="3">
        <f>(D67-E67)*設定!$B$3-O67-((D67-E67)-O67)*設定!$B$4</f>
        <v/>
      </c>
      <c r="Q67" s="3">
        <f>D67*設定!$B$3-O67-(D67-O67)*設定!$B$4</f>
        <v/>
      </c>
      <c r="R67" s="3">
        <f>P67/C67</f>
        <v/>
      </c>
      <c r="S67" s="3">
        <f>Q67/C67</f>
        <v/>
      </c>
    </row>
    <row r="68">
      <c r="A68" t="inlineStr">
        <is>
          <t>S4-J-NT0270123A</t>
        </is>
      </c>
      <c r="B68" t="inlineStr">
        <is>
          <t>2027/01/23</t>
        </is>
      </c>
      <c r="C68" t="n">
        <v>6</v>
      </c>
      <c r="D68" s="3" t="n">
        <v>303400</v>
      </c>
      <c r="E68" s="3" t="n">
        <v>0</v>
      </c>
      <c r="F68" s="3" t="n">
        <v>18</v>
      </c>
      <c r="G68" s="3" t="n">
        <v>10</v>
      </c>
      <c r="H68" s="3" t="n">
        <v>6</v>
      </c>
      <c r="I68" s="3" t="n">
        <v>6</v>
      </c>
      <c r="J68" s="3" t="n">
        <v>12</v>
      </c>
      <c r="K68" s="3" t="n">
        <v>12</v>
      </c>
      <c r="L68" s="3" t="n">
        <v>6</v>
      </c>
      <c r="M68" s="3" t="n">
        <v>6</v>
      </c>
      <c r="N68" s="3">
        <f>F68*$B$5+G68*$B$6+H68*$B$7+I68*$B$8+J68*$B$9+K68*$B$10+L68*$B$11+M68*$B$12</f>
        <v/>
      </c>
      <c r="O68" s="3">
        <f>N68*設定!$B$2</f>
        <v/>
      </c>
      <c r="P68" s="3">
        <f>(D68-E68)*設定!$B$3-O68-((D68-E68)-O68)*設定!$B$4</f>
        <v/>
      </c>
      <c r="Q68" s="3">
        <f>D68*設定!$B$3-O68-(D68-O68)*設定!$B$4</f>
        <v/>
      </c>
      <c r="R68" s="3">
        <f>P68/C68</f>
        <v/>
      </c>
      <c r="S68" s="3">
        <f>Q68/C68</f>
        <v/>
      </c>
    </row>
    <row r="69">
      <c r="A69" t="inlineStr">
        <is>
          <t>S4-J-NT0270124A</t>
        </is>
      </c>
      <c r="B69" t="inlineStr">
        <is>
          <t>2027/01/24</t>
        </is>
      </c>
      <c r="C69" t="n">
        <v>8</v>
      </c>
      <c r="D69" s="3" t="n">
        <v>423902</v>
      </c>
      <c r="E69" s="3" t="n">
        <v>13200</v>
      </c>
      <c r="F69" s="3" t="n">
        <v>26</v>
      </c>
      <c r="G69" s="3" t="n">
        <v>8</v>
      </c>
      <c r="H69" s="3" t="n">
        <v>8</v>
      </c>
      <c r="I69" s="3" t="n">
        <v>8</v>
      </c>
      <c r="J69" s="3" t="n">
        <v>18</v>
      </c>
      <c r="K69" s="3" t="n">
        <v>18</v>
      </c>
      <c r="L69" s="3" t="n">
        <v>8</v>
      </c>
      <c r="M69" s="3" t="n">
        <v>8</v>
      </c>
      <c r="N69" s="3">
        <f>F69*$B$5+G69*$B$6+H69*$B$7+I69*$B$8+J69*$B$9+K69*$B$10+L69*$B$11+M69*$B$12</f>
        <v/>
      </c>
      <c r="O69" s="3">
        <f>N69*設定!$B$2</f>
        <v/>
      </c>
      <c r="P69" s="3">
        <f>(D69-E69)*設定!$B$3-O69-((D69-E69)-O69)*設定!$B$4</f>
        <v/>
      </c>
      <c r="Q69" s="3">
        <f>D69*設定!$B$3-O69-(D69-O69)*設定!$B$4</f>
        <v/>
      </c>
      <c r="R69" s="3">
        <f>P69/C69</f>
        <v/>
      </c>
      <c r="S69" s="3">
        <f>Q69/C69</f>
        <v/>
      </c>
    </row>
    <row r="70">
      <c r="A70" t="inlineStr">
        <is>
          <t>S4-J-NT0270127A</t>
        </is>
      </c>
      <c r="B70" t="inlineStr">
        <is>
          <t>2027/01/27</t>
        </is>
      </c>
      <c r="C70" t="n">
        <v>9</v>
      </c>
      <c r="D70" s="3" t="n">
        <v>440700</v>
      </c>
      <c r="E70" s="3" t="n">
        <v>9600</v>
      </c>
      <c r="F70" s="3" t="n">
        <v>27</v>
      </c>
      <c r="G70" s="3" t="n">
        <v>9</v>
      </c>
      <c r="H70" s="3" t="n">
        <v>9</v>
      </c>
      <c r="I70" s="3" t="n">
        <v>9</v>
      </c>
      <c r="J70" s="3" t="n">
        <v>18</v>
      </c>
      <c r="K70" s="3" t="n">
        <v>18</v>
      </c>
      <c r="L70" s="3" t="n">
        <v>9</v>
      </c>
      <c r="M70" s="3" t="n">
        <v>9</v>
      </c>
      <c r="N70" s="3">
        <f>F70*$B$5+G70*$B$6+H70*$B$7+I70*$B$8+J70*$B$9+K70*$B$10+L70*$B$11+M70*$B$12</f>
        <v/>
      </c>
      <c r="O70" s="3">
        <f>N70*設定!$B$2</f>
        <v/>
      </c>
      <c r="P70" s="3">
        <f>(D70-E70)*設定!$B$3-O70-((D70-E70)-O70)*設定!$B$4</f>
        <v/>
      </c>
      <c r="Q70" s="3">
        <f>D70*設定!$B$3-O70-(D70-O70)*設定!$B$4</f>
        <v/>
      </c>
      <c r="R70" s="3">
        <f>P70/C70</f>
        <v/>
      </c>
      <c r="S70" s="3">
        <f>Q70/C70</f>
        <v/>
      </c>
    </row>
    <row r="71">
      <c r="A71" t="inlineStr">
        <is>
          <t>S4-J-NT0270128A</t>
        </is>
      </c>
      <c r="B71" t="inlineStr">
        <is>
          <t>2027/01/28</t>
        </is>
      </c>
      <c r="C71" t="n">
        <v>7</v>
      </c>
      <c r="D71" s="3" t="n">
        <v>338300</v>
      </c>
      <c r="E71" s="3" t="n">
        <v>0</v>
      </c>
      <c r="F71" s="3" t="n">
        <v>21</v>
      </c>
      <c r="G71" s="3" t="n">
        <v>7</v>
      </c>
      <c r="H71" s="3" t="n">
        <v>7</v>
      </c>
      <c r="I71" s="3" t="n">
        <v>7</v>
      </c>
      <c r="J71" s="3" t="n">
        <v>14</v>
      </c>
      <c r="K71" s="3" t="n">
        <v>14</v>
      </c>
      <c r="L71" s="3" t="n">
        <v>7</v>
      </c>
      <c r="M71" s="3" t="n">
        <v>7</v>
      </c>
      <c r="N71" s="3">
        <f>F71*$B$5+G71*$B$6+H71*$B$7+I71*$B$8+J71*$B$9+K71*$B$10+L71*$B$11+M71*$B$12</f>
        <v/>
      </c>
      <c r="O71" s="3">
        <f>N71*設定!$B$2</f>
        <v/>
      </c>
      <c r="P71" s="3">
        <f>(D71-E71)*設定!$B$3-O71-((D71-E71)-O71)*設定!$B$4</f>
        <v/>
      </c>
      <c r="Q71" s="3">
        <f>D71*設定!$B$3-O71-(D71-O71)*設定!$B$4</f>
        <v/>
      </c>
      <c r="R71" s="3">
        <f>P71/C71</f>
        <v/>
      </c>
      <c r="S71" s="3">
        <f>Q71/C71</f>
        <v/>
      </c>
    </row>
    <row r="72">
      <c r="A72" t="inlineStr">
        <is>
          <t>S4-J-NT0270129A</t>
        </is>
      </c>
      <c r="B72" t="inlineStr">
        <is>
          <t>2027/01/29</t>
        </is>
      </c>
      <c r="C72" t="n">
        <v>4</v>
      </c>
      <c r="D72" s="3" t="n">
        <v>195600</v>
      </c>
      <c r="E72" s="3" t="n">
        <v>0</v>
      </c>
      <c r="F72" s="3" t="n">
        <v>12</v>
      </c>
      <c r="G72" s="3" t="n">
        <v>4</v>
      </c>
      <c r="H72" s="3" t="n">
        <v>4</v>
      </c>
      <c r="I72" s="3" t="n">
        <v>4</v>
      </c>
      <c r="J72" s="3" t="n">
        <v>8</v>
      </c>
      <c r="K72" s="3" t="n">
        <v>8</v>
      </c>
      <c r="L72" s="3" t="n">
        <v>4</v>
      </c>
      <c r="M72" s="3" t="n">
        <v>4</v>
      </c>
      <c r="N72" s="3">
        <f>F72*$B$5+G72*$B$6+H72*$B$7+I72*$B$8+J72*$B$9+K72*$B$10+L72*$B$11+M72*$B$12</f>
        <v/>
      </c>
      <c r="O72" s="3">
        <f>N72*設定!$B$2</f>
        <v/>
      </c>
      <c r="P72" s="3">
        <f>(D72-E72)*設定!$B$3-O72-((D72-E72)-O72)*設定!$B$4</f>
        <v/>
      </c>
      <c r="Q72" s="3">
        <f>D72*設定!$B$3-O72-(D72-O72)*設定!$B$4</f>
        <v/>
      </c>
      <c r="R72" s="3">
        <f>P72/C72</f>
        <v/>
      </c>
      <c r="S72" s="3">
        <f>Q72/C72</f>
        <v/>
      </c>
    </row>
    <row r="73">
      <c r="A73" t="inlineStr">
        <is>
          <t>S4-J-NT0270131A</t>
        </is>
      </c>
      <c r="B73" t="inlineStr">
        <is>
          <t>2027/01/31</t>
        </is>
      </c>
      <c r="C73" t="n">
        <v>2</v>
      </c>
      <c r="D73" s="3" t="n">
        <v>123800</v>
      </c>
      <c r="E73" s="3" t="n">
        <v>6000</v>
      </c>
      <c r="F73" s="3" t="n">
        <v>8</v>
      </c>
      <c r="G73" s="3" t="n">
        <v>2</v>
      </c>
      <c r="H73" s="3" t="n">
        <v>2</v>
      </c>
      <c r="I73" s="3" t="n">
        <v>2</v>
      </c>
      <c r="J73" s="3" t="n">
        <v>6</v>
      </c>
      <c r="K73" s="3" t="n">
        <v>6</v>
      </c>
      <c r="L73" s="3" t="n">
        <v>2</v>
      </c>
      <c r="M73" s="3" t="n">
        <v>2</v>
      </c>
      <c r="N73" s="3">
        <f>F73*$B$5+G73*$B$6+H73*$B$7+I73*$B$8+J73*$B$9+K73*$B$10+L73*$B$11+M73*$B$12</f>
        <v/>
      </c>
      <c r="O73" s="3">
        <f>N73*設定!$B$2</f>
        <v/>
      </c>
      <c r="P73" s="3">
        <f>(D73-E73)*設定!$B$3-O73-((D73-E73)-O73)*設定!$B$4</f>
        <v/>
      </c>
      <c r="Q73" s="3">
        <f>D73*設定!$B$3-O73-(D73-O73)*設定!$B$4</f>
        <v/>
      </c>
      <c r="R73" s="3">
        <f>P73/C73</f>
        <v/>
      </c>
      <c r="S73" s="3">
        <f>Q73/C73</f>
        <v/>
      </c>
    </row>
    <row r="74">
      <c r="A74" t="inlineStr">
        <is>
          <t>S4-J-NT0270202A</t>
        </is>
      </c>
      <c r="B74" t="inlineStr">
        <is>
          <t>2027/02/02</t>
        </is>
      </c>
      <c r="C74" t="n">
        <v>6</v>
      </c>
      <c r="D74" s="3" t="n">
        <v>350400</v>
      </c>
      <c r="E74" s="3" t="n">
        <v>0</v>
      </c>
      <c r="F74" s="3" t="n">
        <v>21</v>
      </c>
      <c r="G74" s="3" t="n">
        <v>6</v>
      </c>
      <c r="H74" s="3" t="n">
        <v>6</v>
      </c>
      <c r="I74" s="3" t="n">
        <v>6</v>
      </c>
      <c r="J74" s="3" t="n">
        <v>15</v>
      </c>
      <c r="K74" s="3" t="n">
        <v>15</v>
      </c>
      <c r="L74" s="3" t="n">
        <v>6</v>
      </c>
      <c r="M74" s="3" t="n">
        <v>6</v>
      </c>
      <c r="N74" s="3">
        <f>F74*$B$5+G74*$B$6+H74*$B$7+I74*$B$8+J74*$B$9+K74*$B$10+L74*$B$11+M74*$B$12</f>
        <v/>
      </c>
      <c r="O74" s="3">
        <f>N74*設定!$B$2</f>
        <v/>
      </c>
      <c r="P74" s="3">
        <f>(D74-E74)*設定!$B$3-O74-((D74-E74)-O74)*設定!$B$4</f>
        <v/>
      </c>
      <c r="Q74" s="3">
        <f>D74*設定!$B$3-O74-(D74-O74)*設定!$B$4</f>
        <v/>
      </c>
      <c r="R74" s="3">
        <f>P74/C74</f>
        <v/>
      </c>
      <c r="S74" s="3">
        <f>Q74/C74</f>
        <v/>
      </c>
    </row>
    <row r="75">
      <c r="A75" t="inlineStr">
        <is>
          <t>S4-J-NT0270203A</t>
        </is>
      </c>
      <c r="B75" t="inlineStr">
        <is>
          <t>2027/02/03</t>
        </is>
      </c>
      <c r="C75" t="n">
        <v>4</v>
      </c>
      <c r="D75" s="3" t="n">
        <v>187600</v>
      </c>
      <c r="E75" s="3" t="n">
        <v>0</v>
      </c>
      <c r="F75" s="3" t="n">
        <v>12</v>
      </c>
      <c r="G75" s="3" t="n">
        <v>4</v>
      </c>
      <c r="H75" s="3" t="n">
        <v>4</v>
      </c>
      <c r="I75" s="3" t="n">
        <v>4</v>
      </c>
      <c r="J75" s="3" t="n">
        <v>8</v>
      </c>
      <c r="K75" s="3" t="n">
        <v>8</v>
      </c>
      <c r="L75" s="3" t="n">
        <v>4</v>
      </c>
      <c r="M75" s="3" t="n">
        <v>4</v>
      </c>
      <c r="N75" s="3">
        <f>F75*$B$5+G75*$B$6+H75*$B$7+I75*$B$8+J75*$B$9+K75*$B$10+L75*$B$11+M75*$B$12</f>
        <v/>
      </c>
      <c r="O75" s="3">
        <f>N75*設定!$B$2</f>
        <v/>
      </c>
      <c r="P75" s="3">
        <f>(D75-E75)*設定!$B$3-O75-((D75-E75)-O75)*設定!$B$4</f>
        <v/>
      </c>
      <c r="Q75" s="3">
        <f>D75*設定!$B$3-O75-(D75-O75)*設定!$B$4</f>
        <v/>
      </c>
      <c r="R75" s="3">
        <f>P75/C75</f>
        <v/>
      </c>
      <c r="S75" s="3">
        <f>Q75/C75</f>
        <v/>
      </c>
    </row>
    <row r="76">
      <c r="A76" t="inlineStr">
        <is>
          <t>S4-J-NT0270205A</t>
        </is>
      </c>
      <c r="B76" t="inlineStr">
        <is>
          <t>2027/02/05</t>
        </is>
      </c>
      <c r="C76" t="n">
        <v>2</v>
      </c>
      <c r="D76" s="3" t="n">
        <v>143000</v>
      </c>
      <c r="E76" s="3" t="n">
        <v>9200</v>
      </c>
      <c r="F76" s="3" t="n">
        <v>8</v>
      </c>
      <c r="G76" s="3" t="n">
        <v>6</v>
      </c>
      <c r="H76" s="3" t="n">
        <v>2</v>
      </c>
      <c r="I76" s="3" t="n">
        <v>2</v>
      </c>
      <c r="J76" s="3" t="n">
        <v>6</v>
      </c>
      <c r="K76" s="3" t="n">
        <v>6</v>
      </c>
      <c r="L76" s="3" t="n">
        <v>2</v>
      </c>
      <c r="M76" s="3" t="n">
        <v>2</v>
      </c>
      <c r="N76" s="3">
        <f>F76*$B$5+G76*$B$6+H76*$B$7+I76*$B$8+J76*$B$9+K76*$B$10+L76*$B$11+M76*$B$12</f>
        <v/>
      </c>
      <c r="O76" s="3">
        <f>N76*設定!$B$2</f>
        <v/>
      </c>
      <c r="P76" s="3">
        <f>(D76-E76)*設定!$B$3-O76-((D76-E76)-O76)*設定!$B$4</f>
        <v/>
      </c>
      <c r="Q76" s="3">
        <f>D76*設定!$B$3-O76-(D76-O76)*設定!$B$4</f>
        <v/>
      </c>
      <c r="R76" s="3">
        <f>P76/C76</f>
        <v/>
      </c>
      <c r="S76" s="3">
        <f>Q76/C76</f>
        <v/>
      </c>
    </row>
    <row r="77">
      <c r="A77" t="inlineStr">
        <is>
          <t>S4-J-NT0270208A</t>
        </is>
      </c>
      <c r="B77" t="inlineStr">
        <is>
          <t>2027/02/08</t>
        </is>
      </c>
      <c r="C77" t="n">
        <v>5</v>
      </c>
      <c r="D77" s="3" t="n">
        <v>261000</v>
      </c>
      <c r="E77" s="3" t="n">
        <v>0</v>
      </c>
      <c r="F77" s="3" t="n">
        <v>15</v>
      </c>
      <c r="G77" s="3" t="n">
        <v>5</v>
      </c>
      <c r="H77" s="3" t="n">
        <v>5</v>
      </c>
      <c r="I77" s="3" t="n">
        <v>5</v>
      </c>
      <c r="J77" s="3" t="n">
        <v>10</v>
      </c>
      <c r="K77" s="3" t="n">
        <v>10</v>
      </c>
      <c r="L77" s="3" t="n">
        <v>5</v>
      </c>
      <c r="M77" s="3" t="n">
        <v>5</v>
      </c>
      <c r="N77" s="3">
        <f>F77*$B$5+G77*$B$6+H77*$B$7+I77*$B$8+J77*$B$9+K77*$B$10+L77*$B$11+M77*$B$12</f>
        <v/>
      </c>
      <c r="O77" s="3">
        <f>N77*設定!$B$2</f>
        <v/>
      </c>
      <c r="P77" s="3">
        <f>(D77-E77)*設定!$B$3-O77-((D77-E77)-O77)*設定!$B$4</f>
        <v/>
      </c>
      <c r="Q77" s="3">
        <f>D77*設定!$B$3-O77-(D77-O77)*設定!$B$4</f>
        <v/>
      </c>
      <c r="R77" s="3">
        <f>P77/C77</f>
        <v/>
      </c>
      <c r="S77" s="3">
        <f>Q77/C77</f>
        <v/>
      </c>
    </row>
    <row r="78">
      <c r="A78" t="inlineStr">
        <is>
          <t>S4-J-NT0270209A</t>
        </is>
      </c>
      <c r="B78" t="inlineStr">
        <is>
          <t>2027/02/09</t>
        </is>
      </c>
      <c r="C78" t="n">
        <v>2</v>
      </c>
      <c r="D78" s="3" t="n">
        <v>119800</v>
      </c>
      <c r="E78" s="3" t="n">
        <v>0</v>
      </c>
      <c r="F78" s="3" t="n">
        <v>8</v>
      </c>
      <c r="G78" s="3" t="n">
        <v>2</v>
      </c>
      <c r="H78" s="3" t="n">
        <v>2</v>
      </c>
      <c r="I78" s="3" t="n">
        <v>2</v>
      </c>
      <c r="J78" s="3" t="n">
        <v>6</v>
      </c>
      <c r="K78" s="3" t="n">
        <v>6</v>
      </c>
      <c r="L78" s="3" t="n">
        <v>2</v>
      </c>
      <c r="M78" s="3" t="n">
        <v>2</v>
      </c>
      <c r="N78" s="3">
        <f>F78*$B$5+G78*$B$6+H78*$B$7+I78*$B$8+J78*$B$9+K78*$B$10+L78*$B$11+M78*$B$12</f>
        <v/>
      </c>
      <c r="O78" s="3">
        <f>N78*設定!$B$2</f>
        <v/>
      </c>
      <c r="P78" s="3">
        <f>(D78-E78)*設定!$B$3-O78-((D78-E78)-O78)*設定!$B$4</f>
        <v/>
      </c>
      <c r="Q78" s="3">
        <f>D78*設定!$B$3-O78-(D78-O78)*設定!$B$4</f>
        <v/>
      </c>
      <c r="R78" s="3">
        <f>P78/C78</f>
        <v/>
      </c>
      <c r="S78" s="3">
        <f>Q78/C78</f>
        <v/>
      </c>
    </row>
    <row r="79">
      <c r="A79" t="inlineStr">
        <is>
          <t>S4-J-NT0270210A</t>
        </is>
      </c>
      <c r="B79" t="inlineStr">
        <is>
          <t>2027/02/10</t>
        </is>
      </c>
      <c r="C79" t="n">
        <v>2</v>
      </c>
      <c r="D79" s="3" t="n">
        <v>101800</v>
      </c>
      <c r="E79" s="3" t="n">
        <v>4000</v>
      </c>
      <c r="F79" s="3" t="n">
        <v>6</v>
      </c>
      <c r="G79" s="3" t="n">
        <v>2</v>
      </c>
      <c r="H79" s="3" t="n">
        <v>2</v>
      </c>
      <c r="I79" s="3" t="n">
        <v>2</v>
      </c>
      <c r="J79" s="3" t="n">
        <v>4</v>
      </c>
      <c r="K79" s="3" t="n">
        <v>4</v>
      </c>
      <c r="L79" s="3" t="n">
        <v>2</v>
      </c>
      <c r="M79" s="3" t="n">
        <v>2</v>
      </c>
      <c r="N79" s="3">
        <f>F79*$B$5+G79*$B$6+H79*$B$7+I79*$B$8+J79*$B$9+K79*$B$10+L79*$B$11+M79*$B$12</f>
        <v/>
      </c>
      <c r="O79" s="3">
        <f>N79*設定!$B$2</f>
        <v/>
      </c>
      <c r="P79" s="3">
        <f>(D79-E79)*設定!$B$3-O79-((D79-E79)-O79)*設定!$B$4</f>
        <v/>
      </c>
      <c r="Q79" s="3">
        <f>D79*設定!$B$3-O79-(D79-O79)*設定!$B$4</f>
        <v/>
      </c>
      <c r="R79" s="3">
        <f>P79/C79</f>
        <v/>
      </c>
      <c r="S79" s="3">
        <f>Q79/C79</f>
        <v/>
      </c>
    </row>
    <row r="80">
      <c r="A80" t="inlineStr">
        <is>
          <t>S4-J-NT0270211A</t>
        </is>
      </c>
      <c r="B80" t="inlineStr">
        <is>
          <t>2027/02/11</t>
        </is>
      </c>
      <c r="C80" t="n">
        <v>3</v>
      </c>
      <c r="D80" s="3" t="n">
        <v>143700</v>
      </c>
      <c r="E80" s="3" t="n">
        <v>0</v>
      </c>
      <c r="F80" s="3" t="n">
        <v>9</v>
      </c>
      <c r="G80" s="3" t="n">
        <v>3</v>
      </c>
      <c r="H80" s="3" t="n">
        <v>3</v>
      </c>
      <c r="I80" s="3" t="n">
        <v>3</v>
      </c>
      <c r="J80" s="3" t="n">
        <v>6</v>
      </c>
      <c r="K80" s="3" t="n">
        <v>6</v>
      </c>
      <c r="L80" s="3" t="n">
        <v>3</v>
      </c>
      <c r="M80" s="3" t="n">
        <v>3</v>
      </c>
      <c r="N80" s="3">
        <f>F80*$B$5+G80*$B$6+H80*$B$7+I80*$B$8+J80*$B$9+K80*$B$10+L80*$B$11+M80*$B$12</f>
        <v/>
      </c>
      <c r="O80" s="3">
        <f>N80*設定!$B$2</f>
        <v/>
      </c>
      <c r="P80" s="3">
        <f>(D80-E80)*設定!$B$3-O80-((D80-E80)-O80)*設定!$B$4</f>
        <v/>
      </c>
      <c r="Q80" s="3">
        <f>D80*設定!$B$3-O80-(D80-O80)*設定!$B$4</f>
        <v/>
      </c>
      <c r="R80" s="3">
        <f>P80/C80</f>
        <v/>
      </c>
      <c r="S80" s="3">
        <f>Q80/C80</f>
        <v/>
      </c>
    </row>
    <row r="81">
      <c r="A81" t="inlineStr">
        <is>
          <t>S4-J-NT0270212A</t>
        </is>
      </c>
      <c r="B81" t="inlineStr">
        <is>
          <t>2027/02/12</t>
        </is>
      </c>
      <c r="C81" t="n">
        <v>1</v>
      </c>
      <c r="D81" s="3" t="n">
        <v>69400</v>
      </c>
      <c r="E81" s="3" t="n">
        <v>2000</v>
      </c>
      <c r="F81" s="3" t="n">
        <v>3</v>
      </c>
      <c r="G81" s="3" t="n">
        <v>1</v>
      </c>
      <c r="H81" s="3" t="n">
        <v>1</v>
      </c>
      <c r="I81" s="3" t="n">
        <v>1</v>
      </c>
      <c r="J81" s="3" t="n">
        <v>2</v>
      </c>
      <c r="K81" s="3" t="n">
        <v>2</v>
      </c>
      <c r="L81" s="3" t="n">
        <v>1</v>
      </c>
      <c r="M81" s="3" t="n">
        <v>1</v>
      </c>
      <c r="N81" s="3">
        <f>F81*$B$5+G81*$B$6+H81*$B$7+I81*$B$8+J81*$B$9+K81*$B$10+L81*$B$11+M81*$B$12</f>
        <v/>
      </c>
      <c r="O81" s="3">
        <f>N81*設定!$B$2</f>
        <v/>
      </c>
      <c r="P81" s="3">
        <f>(D81-E81)*設定!$B$3-O81-((D81-E81)-O81)*設定!$B$4</f>
        <v/>
      </c>
      <c r="Q81" s="3">
        <f>D81*設定!$B$3-O81-(D81-O81)*設定!$B$4</f>
        <v/>
      </c>
      <c r="R81" s="3">
        <f>P81/C81</f>
        <v/>
      </c>
      <c r="S81" s="3">
        <f>Q81/C81</f>
        <v/>
      </c>
    </row>
    <row r="82">
      <c r="A82" t="inlineStr">
        <is>
          <t>S4-J-NT0270213A</t>
        </is>
      </c>
      <c r="B82" t="inlineStr">
        <is>
          <t>2027/02/13</t>
        </is>
      </c>
      <c r="C82" t="n">
        <v>6</v>
      </c>
      <c r="D82" s="3" t="n">
        <v>275400</v>
      </c>
      <c r="E82" s="3" t="n">
        <v>0</v>
      </c>
      <c r="F82" s="3" t="n">
        <v>18</v>
      </c>
      <c r="G82" s="3" t="n">
        <v>6</v>
      </c>
      <c r="H82" s="3" t="n">
        <v>6</v>
      </c>
      <c r="I82" s="3" t="n">
        <v>6</v>
      </c>
      <c r="J82" s="3" t="n">
        <v>12</v>
      </c>
      <c r="K82" s="3" t="n">
        <v>12</v>
      </c>
      <c r="L82" s="3" t="n">
        <v>6</v>
      </c>
      <c r="M82" s="3" t="n">
        <v>6</v>
      </c>
      <c r="N82" s="3">
        <f>F82*$B$5+G82*$B$6+H82*$B$7+I82*$B$8+J82*$B$9+K82*$B$10+L82*$B$11+M82*$B$12</f>
        <v/>
      </c>
      <c r="O82" s="3">
        <f>N82*設定!$B$2</f>
        <v/>
      </c>
      <c r="P82" s="3">
        <f>(D82-E82)*設定!$B$3-O82-((D82-E82)-O82)*設定!$B$4</f>
        <v/>
      </c>
      <c r="Q82" s="3">
        <f>D82*設定!$B$3-O82-(D82-O82)*設定!$B$4</f>
        <v/>
      </c>
      <c r="R82" s="3">
        <f>P82/C82</f>
        <v/>
      </c>
      <c r="S82" s="3">
        <f>Q82/C82</f>
        <v/>
      </c>
    </row>
    <row r="83">
      <c r="A83" t="inlineStr">
        <is>
          <t>S4-J-NT0270214A</t>
        </is>
      </c>
      <c r="B83" t="inlineStr">
        <is>
          <t>2027/02/14</t>
        </is>
      </c>
      <c r="C83" t="n">
        <v>7</v>
      </c>
      <c r="D83" s="3" t="n">
        <v>326900</v>
      </c>
      <c r="E83" s="3" t="n">
        <v>5600</v>
      </c>
      <c r="F83" s="3" t="n">
        <v>21</v>
      </c>
      <c r="G83" s="3" t="n">
        <v>7</v>
      </c>
      <c r="H83" s="3" t="n">
        <v>7</v>
      </c>
      <c r="I83" s="3" t="n">
        <v>7</v>
      </c>
      <c r="J83" s="3" t="n">
        <v>14</v>
      </c>
      <c r="K83" s="3" t="n">
        <v>14</v>
      </c>
      <c r="L83" s="3" t="n">
        <v>7</v>
      </c>
      <c r="M83" s="3" t="n">
        <v>7</v>
      </c>
      <c r="N83" s="3">
        <f>F83*$B$5+G83*$B$6+H83*$B$7+I83*$B$8+J83*$B$9+K83*$B$10+L83*$B$11+M83*$B$12</f>
        <v/>
      </c>
      <c r="O83" s="3">
        <f>N83*設定!$B$2</f>
        <v/>
      </c>
      <c r="P83" s="3">
        <f>(D83-E83)*設定!$B$3-O83-((D83-E83)-O83)*設定!$B$4</f>
        <v/>
      </c>
      <c r="Q83" s="3">
        <f>D83*設定!$B$3-O83-(D83-O83)*設定!$B$4</f>
        <v/>
      </c>
      <c r="R83" s="3">
        <f>P83/C83</f>
        <v/>
      </c>
      <c r="S83" s="3">
        <f>Q83/C83</f>
        <v/>
      </c>
    </row>
    <row r="84">
      <c r="A84" t="inlineStr">
        <is>
          <t>S4-J-NT0270215A</t>
        </is>
      </c>
      <c r="B84" t="inlineStr">
        <is>
          <t>2027/02/15</t>
        </is>
      </c>
      <c r="C84" t="n">
        <v>6</v>
      </c>
      <c r="D84" s="3" t="n">
        <v>287400</v>
      </c>
      <c r="E84" s="3" t="n">
        <v>0</v>
      </c>
      <c r="F84" s="3" t="n">
        <v>18</v>
      </c>
      <c r="G84" s="3" t="n">
        <v>8</v>
      </c>
      <c r="H84" s="3" t="n">
        <v>6</v>
      </c>
      <c r="I84" s="3" t="n">
        <v>6</v>
      </c>
      <c r="J84" s="3" t="n">
        <v>12</v>
      </c>
      <c r="K84" s="3" t="n">
        <v>12</v>
      </c>
      <c r="L84" s="3" t="n">
        <v>6</v>
      </c>
      <c r="M84" s="3" t="n">
        <v>6</v>
      </c>
      <c r="N84" s="3">
        <f>F84*$B$5+G84*$B$6+H84*$B$7+I84*$B$8+J84*$B$9+K84*$B$10+L84*$B$11+M84*$B$12</f>
        <v/>
      </c>
      <c r="O84" s="3">
        <f>N84*設定!$B$2</f>
        <v/>
      </c>
      <c r="P84" s="3">
        <f>(D84-E84)*設定!$B$3-O84-((D84-E84)-O84)*設定!$B$4</f>
        <v/>
      </c>
      <c r="Q84" s="3">
        <f>D84*設定!$B$3-O84-(D84-O84)*設定!$B$4</f>
        <v/>
      </c>
      <c r="R84" s="3">
        <f>P84/C84</f>
        <v/>
      </c>
      <c r="S84" s="3">
        <f>Q84/C84</f>
        <v/>
      </c>
    </row>
    <row r="85">
      <c r="A85" t="inlineStr">
        <is>
          <t>S4-J-NT0270217A</t>
        </is>
      </c>
      <c r="B85" t="inlineStr">
        <is>
          <t>2027/02/17</t>
        </is>
      </c>
      <c r="C85" t="n">
        <v>4</v>
      </c>
      <c r="D85" s="3" t="n">
        <v>202100</v>
      </c>
      <c r="E85" s="3" t="n">
        <v>0</v>
      </c>
      <c r="F85" s="3" t="n">
        <v>13</v>
      </c>
      <c r="G85" s="3" t="n">
        <v>4</v>
      </c>
      <c r="H85" s="3" t="n">
        <v>4</v>
      </c>
      <c r="I85" s="3" t="n">
        <v>4</v>
      </c>
      <c r="J85" s="3" t="n">
        <v>9</v>
      </c>
      <c r="K85" s="3" t="n">
        <v>9</v>
      </c>
      <c r="L85" s="3" t="n">
        <v>4</v>
      </c>
      <c r="M85" s="3" t="n">
        <v>4</v>
      </c>
      <c r="N85" s="3">
        <f>F85*$B$5+G85*$B$6+H85*$B$7+I85*$B$8+J85*$B$9+K85*$B$10+L85*$B$11+M85*$B$12</f>
        <v/>
      </c>
      <c r="O85" s="3">
        <f>N85*設定!$B$2</f>
        <v/>
      </c>
      <c r="P85" s="3">
        <f>(D85-E85)*設定!$B$3-O85-((D85-E85)-O85)*設定!$B$4</f>
        <v/>
      </c>
      <c r="Q85" s="3">
        <f>D85*設定!$B$3-O85-(D85-O85)*設定!$B$4</f>
        <v/>
      </c>
      <c r="R85" s="3">
        <f>P85/C85</f>
        <v/>
      </c>
      <c r="S85" s="3">
        <f>Q85/C85</f>
        <v/>
      </c>
    </row>
    <row r="86">
      <c r="A86" t="inlineStr">
        <is>
          <t>S4-J-NT0270220A</t>
        </is>
      </c>
      <c r="B86" t="inlineStr">
        <is>
          <t>2027/02/20</t>
        </is>
      </c>
      <c r="C86" t="n">
        <v>7</v>
      </c>
      <c r="D86" s="3" t="n">
        <v>333800</v>
      </c>
      <c r="E86" s="3" t="n">
        <v>0</v>
      </c>
      <c r="F86" s="3" t="n">
        <v>21</v>
      </c>
      <c r="G86" s="3" t="n">
        <v>7</v>
      </c>
      <c r="H86" s="3" t="n">
        <v>7</v>
      </c>
      <c r="I86" s="3" t="n">
        <v>7</v>
      </c>
      <c r="J86" s="3" t="n">
        <v>14</v>
      </c>
      <c r="K86" s="3" t="n">
        <v>14</v>
      </c>
      <c r="L86" s="3" t="n">
        <v>7</v>
      </c>
      <c r="M86" s="3" t="n">
        <v>7</v>
      </c>
      <c r="N86" s="3">
        <f>F86*$B$5+G86*$B$6+H86*$B$7+I86*$B$8+J86*$B$9+K86*$B$10+L86*$B$11+M86*$B$12</f>
        <v/>
      </c>
      <c r="O86" s="3">
        <f>N86*設定!$B$2</f>
        <v/>
      </c>
      <c r="P86" s="3">
        <f>(D86-E86)*設定!$B$3-O86-((D86-E86)-O86)*設定!$B$4</f>
        <v/>
      </c>
      <c r="Q86" s="3">
        <f>D86*設定!$B$3-O86-(D86-O86)*設定!$B$4</f>
        <v/>
      </c>
      <c r="R86" s="3">
        <f>P86/C86</f>
        <v/>
      </c>
      <c r="S86" s="3">
        <f>Q86/C86</f>
        <v/>
      </c>
    </row>
    <row r="87">
      <c r="A87" t="inlineStr">
        <is>
          <t>S4-J-NT0270222A</t>
        </is>
      </c>
      <c r="B87" t="inlineStr">
        <is>
          <t>2027/02/22</t>
        </is>
      </c>
      <c r="C87" t="n">
        <v>7</v>
      </c>
      <c r="D87" s="3" t="n">
        <v>363700</v>
      </c>
      <c r="E87" s="3" t="n">
        <v>14800</v>
      </c>
      <c r="F87" s="3" t="n">
        <v>21</v>
      </c>
      <c r="G87" s="3" t="n">
        <v>7</v>
      </c>
      <c r="H87" s="3" t="n">
        <v>7</v>
      </c>
      <c r="I87" s="3" t="n">
        <v>7</v>
      </c>
      <c r="J87" s="3" t="n">
        <v>14</v>
      </c>
      <c r="K87" s="3" t="n">
        <v>14</v>
      </c>
      <c r="L87" s="3" t="n">
        <v>7</v>
      </c>
      <c r="M87" s="3" t="n">
        <v>7</v>
      </c>
      <c r="N87" s="3">
        <f>F87*$B$5+G87*$B$6+H87*$B$7+I87*$B$8+J87*$B$9+K87*$B$10+L87*$B$11+M87*$B$12</f>
        <v/>
      </c>
      <c r="O87" s="3">
        <f>N87*設定!$B$2</f>
        <v/>
      </c>
      <c r="P87" s="3">
        <f>(D87-E87)*設定!$B$3-O87-((D87-E87)-O87)*設定!$B$4</f>
        <v/>
      </c>
      <c r="Q87" s="3">
        <f>D87*設定!$B$3-O87-(D87-O87)*設定!$B$4</f>
        <v/>
      </c>
      <c r="R87" s="3">
        <f>P87/C87</f>
        <v/>
      </c>
      <c r="S87" s="3">
        <f>Q87/C87</f>
        <v/>
      </c>
    </row>
    <row r="88">
      <c r="A88" t="inlineStr">
        <is>
          <t>S4-J-NT0270224A</t>
        </is>
      </c>
      <c r="B88" t="inlineStr">
        <is>
          <t>2027/02/24</t>
        </is>
      </c>
      <c r="C88" t="n">
        <v>2</v>
      </c>
      <c r="D88" s="3" t="n">
        <v>93800</v>
      </c>
      <c r="E88" s="3" t="n">
        <v>0</v>
      </c>
      <c r="F88" s="3" t="n">
        <v>6</v>
      </c>
      <c r="G88" s="3" t="n">
        <v>2</v>
      </c>
      <c r="H88" s="3" t="n">
        <v>2</v>
      </c>
      <c r="I88" s="3" t="n">
        <v>2</v>
      </c>
      <c r="J88" s="3" t="n">
        <v>4</v>
      </c>
      <c r="K88" s="3" t="n">
        <v>4</v>
      </c>
      <c r="L88" s="3" t="n">
        <v>2</v>
      </c>
      <c r="M88" s="3" t="n">
        <v>2</v>
      </c>
      <c r="N88" s="3">
        <f>F88*$B$5+G88*$B$6+H88*$B$7+I88*$B$8+J88*$B$9+K88*$B$10+L88*$B$11+M88*$B$12</f>
        <v/>
      </c>
      <c r="O88" s="3">
        <f>N88*設定!$B$2</f>
        <v/>
      </c>
      <c r="P88" s="3">
        <f>(D88-E88)*設定!$B$3-O88-((D88-E88)-O88)*設定!$B$4</f>
        <v/>
      </c>
      <c r="Q88" s="3">
        <f>D88*設定!$B$3-O88-(D88-O88)*設定!$B$4</f>
        <v/>
      </c>
      <c r="R88" s="3">
        <f>P88/C88</f>
        <v/>
      </c>
      <c r="S88" s="3">
        <f>Q88/C88</f>
        <v/>
      </c>
    </row>
    <row r="89">
      <c r="A89" t="inlineStr">
        <is>
          <t>S4-J-NT0270225A</t>
        </is>
      </c>
      <c r="B89" t="inlineStr">
        <is>
          <t>2027/02/25</t>
        </is>
      </c>
      <c r="C89" t="n">
        <v>2</v>
      </c>
      <c r="D89" s="3" t="n">
        <v>95800</v>
      </c>
      <c r="E89" s="3" t="n">
        <v>0</v>
      </c>
      <c r="F89" s="3" t="n">
        <v>6</v>
      </c>
      <c r="G89" s="3" t="n">
        <v>2</v>
      </c>
      <c r="H89" s="3" t="n">
        <v>2</v>
      </c>
      <c r="I89" s="3" t="n">
        <v>2</v>
      </c>
      <c r="J89" s="3" t="n">
        <v>4</v>
      </c>
      <c r="K89" s="3" t="n">
        <v>4</v>
      </c>
      <c r="L89" s="3" t="n">
        <v>2</v>
      </c>
      <c r="M89" s="3" t="n">
        <v>2</v>
      </c>
      <c r="N89" s="3">
        <f>F89*$B$5+G89*$B$6+H89*$B$7+I89*$B$8+J89*$B$9+K89*$B$10+L89*$B$11+M89*$B$12</f>
        <v/>
      </c>
      <c r="O89" s="3">
        <f>N89*設定!$B$2</f>
        <v/>
      </c>
      <c r="P89" s="3">
        <f>(D89-E89)*設定!$B$3-O89-((D89-E89)-O89)*設定!$B$4</f>
        <v/>
      </c>
      <c r="Q89" s="3">
        <f>D89*設定!$B$3-O89-(D89-O89)*設定!$B$4</f>
        <v/>
      </c>
      <c r="R89" s="3">
        <f>P89/C89</f>
        <v/>
      </c>
      <c r="S89" s="3">
        <f>Q89/C89</f>
        <v/>
      </c>
    </row>
    <row r="90">
      <c r="A90" t="inlineStr">
        <is>
          <t>S4-J-NT0270227A</t>
        </is>
      </c>
      <c r="B90" t="inlineStr">
        <is>
          <t>2027/02/27</t>
        </is>
      </c>
      <c r="C90" t="n">
        <v>10</v>
      </c>
      <c r="D90" s="3" t="n">
        <v>849800</v>
      </c>
      <c r="E90" s="3" t="n">
        <v>40800</v>
      </c>
      <c r="F90" s="3" t="n">
        <v>40</v>
      </c>
      <c r="G90" s="3" t="n">
        <v>20</v>
      </c>
      <c r="H90" s="3" t="n">
        <v>10</v>
      </c>
      <c r="I90" s="3" t="n">
        <v>10</v>
      </c>
      <c r="J90" s="3" t="n">
        <v>30</v>
      </c>
      <c r="K90" s="3" t="n">
        <v>30</v>
      </c>
      <c r="L90" s="3" t="n">
        <v>10</v>
      </c>
      <c r="M90" s="3" t="n">
        <v>10</v>
      </c>
      <c r="N90" s="3">
        <f>F90*$B$5+G90*$B$6+H90*$B$7+I90*$B$8+J90*$B$9+K90*$B$10+L90*$B$11+M90*$B$12</f>
        <v/>
      </c>
      <c r="O90" s="3">
        <f>N90*設定!$B$2</f>
        <v/>
      </c>
      <c r="P90" s="3">
        <f>(D90-E90)*設定!$B$3-O90-((D90-E90)-O90)*設定!$B$4</f>
        <v/>
      </c>
      <c r="Q90" s="3">
        <f>D90*設定!$B$3-O90-(D90-O90)*設定!$B$4</f>
        <v/>
      </c>
      <c r="R90" s="3">
        <f>P90/C90</f>
        <v/>
      </c>
      <c r="S90" s="3">
        <f>Q90/C90</f>
        <v/>
      </c>
    </row>
    <row r="91">
      <c r="A91" t="inlineStr">
        <is>
          <t>S4-J-NT0270301A</t>
        </is>
      </c>
      <c r="B91" t="inlineStr">
        <is>
          <t>2027/03/01</t>
        </is>
      </c>
      <c r="C91" t="n">
        <v>2</v>
      </c>
      <c r="D91" s="3" t="n">
        <v>122200</v>
      </c>
      <c r="E91" s="3" t="n">
        <v>8400</v>
      </c>
      <c r="F91" s="3" t="n">
        <v>8</v>
      </c>
      <c r="G91" s="3" t="n">
        <v>2</v>
      </c>
      <c r="H91" s="3" t="n">
        <v>2</v>
      </c>
      <c r="I91" s="3" t="n">
        <v>2</v>
      </c>
      <c r="J91" s="3" t="n">
        <v>6</v>
      </c>
      <c r="K91" s="3" t="n">
        <v>6</v>
      </c>
      <c r="L91" s="3" t="n">
        <v>2</v>
      </c>
      <c r="M91" s="3" t="n">
        <v>2</v>
      </c>
      <c r="N91" s="3">
        <f>F91*$B$5+G91*$B$6+H91*$B$7+I91*$B$8+J91*$B$9+K91*$B$10+L91*$B$11+M91*$B$12</f>
        <v/>
      </c>
      <c r="O91" s="3">
        <f>N91*設定!$B$2</f>
        <v/>
      </c>
      <c r="P91" s="3">
        <f>(D91-E91)*設定!$B$3-O91-((D91-E91)-O91)*設定!$B$4</f>
        <v/>
      </c>
      <c r="Q91" s="3">
        <f>D91*設定!$B$3-O91-(D91-O91)*設定!$B$4</f>
        <v/>
      </c>
      <c r="R91" s="3">
        <f>P91/C91</f>
        <v/>
      </c>
      <c r="S91" s="3">
        <f>Q91/C91</f>
        <v/>
      </c>
    </row>
    <row r="92">
      <c r="A92" t="inlineStr">
        <is>
          <t>S4-J-NT0270304A</t>
        </is>
      </c>
      <c r="B92" t="inlineStr">
        <is>
          <t>2027/03/04</t>
        </is>
      </c>
      <c r="C92" t="n">
        <v>4</v>
      </c>
      <c r="D92" s="3" t="n">
        <v>191600</v>
      </c>
      <c r="E92" s="3" t="n">
        <v>0</v>
      </c>
      <c r="F92" s="3" t="n">
        <v>12</v>
      </c>
      <c r="G92" s="3" t="n">
        <v>4</v>
      </c>
      <c r="H92" s="3" t="n">
        <v>4</v>
      </c>
      <c r="I92" s="3" t="n">
        <v>4</v>
      </c>
      <c r="J92" s="3" t="n">
        <v>8</v>
      </c>
      <c r="K92" s="3" t="n">
        <v>8</v>
      </c>
      <c r="L92" s="3" t="n">
        <v>4</v>
      </c>
      <c r="M92" s="3" t="n">
        <v>4</v>
      </c>
      <c r="N92" s="3">
        <f>F92*$B$5+G92*$B$6+H92*$B$7+I92*$B$8+J92*$B$9+K92*$B$10+L92*$B$11+M92*$B$12</f>
        <v/>
      </c>
      <c r="O92" s="3">
        <f>N92*設定!$B$2</f>
        <v/>
      </c>
      <c r="P92" s="3">
        <f>(D92-E92)*設定!$B$3-O92-((D92-E92)-O92)*設定!$B$4</f>
        <v/>
      </c>
      <c r="Q92" s="3">
        <f>D92*設定!$B$3-O92-(D92-O92)*設定!$B$4</f>
        <v/>
      </c>
      <c r="R92" s="3">
        <f>P92/C92</f>
        <v/>
      </c>
      <c r="S92" s="3">
        <f>Q92/C92</f>
        <v/>
      </c>
    </row>
    <row r="93">
      <c r="A93" t="inlineStr">
        <is>
          <t>S4-J-NT0270305A</t>
        </is>
      </c>
      <c r="B93" t="inlineStr">
        <is>
          <t>2027/03/05</t>
        </is>
      </c>
      <c r="C93" t="n">
        <v>8</v>
      </c>
      <c r="D93" s="3" t="n">
        <v>367200</v>
      </c>
      <c r="E93" s="3" t="n">
        <v>0</v>
      </c>
      <c r="F93" s="3" t="n">
        <v>24</v>
      </c>
      <c r="G93" s="3" t="n">
        <v>8</v>
      </c>
      <c r="H93" s="3" t="n">
        <v>8</v>
      </c>
      <c r="I93" s="3" t="n">
        <v>8</v>
      </c>
      <c r="J93" s="3" t="n">
        <v>16</v>
      </c>
      <c r="K93" s="3" t="n">
        <v>16</v>
      </c>
      <c r="L93" s="3" t="n">
        <v>8</v>
      </c>
      <c r="M93" s="3" t="n">
        <v>8</v>
      </c>
      <c r="N93" s="3">
        <f>F93*$B$5+G93*$B$6+H93*$B$7+I93*$B$8+J93*$B$9+K93*$B$10+L93*$B$11+M93*$B$12</f>
        <v/>
      </c>
      <c r="O93" s="3">
        <f>N93*設定!$B$2</f>
        <v/>
      </c>
      <c r="P93" s="3">
        <f>(D93-E93)*設定!$B$3-O93-((D93-E93)-O93)*設定!$B$4</f>
        <v/>
      </c>
      <c r="Q93" s="3">
        <f>D93*設定!$B$3-O93-(D93-O93)*設定!$B$4</f>
        <v/>
      </c>
      <c r="R93" s="3">
        <f>P93/C93</f>
        <v/>
      </c>
      <c r="S93" s="3">
        <f>Q93/C93</f>
        <v/>
      </c>
    </row>
    <row r="94">
      <c r="A94" t="inlineStr">
        <is>
          <t>S4-J-NT0270306A</t>
        </is>
      </c>
      <c r="B94" t="inlineStr">
        <is>
          <t>2027/03/06</t>
        </is>
      </c>
      <c r="C94" t="n">
        <v>10</v>
      </c>
      <c r="D94" s="3" t="n">
        <v>559000</v>
      </c>
      <c r="E94" s="3" t="n">
        <v>0</v>
      </c>
      <c r="F94" s="3" t="n">
        <v>40</v>
      </c>
      <c r="G94" s="3" t="n">
        <v>10</v>
      </c>
      <c r="H94" s="3" t="n">
        <v>10</v>
      </c>
      <c r="I94" s="3" t="n">
        <v>10</v>
      </c>
      <c r="J94" s="3" t="n">
        <v>30</v>
      </c>
      <c r="K94" s="3" t="n">
        <v>30</v>
      </c>
      <c r="L94" s="3" t="n">
        <v>10</v>
      </c>
      <c r="M94" s="3" t="n">
        <v>10</v>
      </c>
      <c r="N94" s="3">
        <f>F94*$B$5+G94*$B$6+H94*$B$7+I94*$B$8+J94*$B$9+K94*$B$10+L94*$B$11+M94*$B$12</f>
        <v/>
      </c>
      <c r="O94" s="3">
        <f>N94*設定!$B$2</f>
        <v/>
      </c>
      <c r="P94" s="3">
        <f>(D94-E94)*設定!$B$3-O94-((D94-E94)-O94)*設定!$B$4</f>
        <v/>
      </c>
      <c r="Q94" s="3">
        <f>D94*設定!$B$3-O94-(D94-O94)*設定!$B$4</f>
        <v/>
      </c>
      <c r="R94" s="3">
        <f>P94/C94</f>
        <v/>
      </c>
      <c r="S94" s="3">
        <f>Q94/C94</f>
        <v/>
      </c>
    </row>
    <row r="95">
      <c r="A95" t="inlineStr">
        <is>
          <t>S4-J-NT0270307A</t>
        </is>
      </c>
      <c r="B95" t="inlineStr">
        <is>
          <t>2027/03/07</t>
        </is>
      </c>
      <c r="C95" t="n">
        <v>5</v>
      </c>
      <c r="D95" s="3" t="n">
        <v>236900</v>
      </c>
      <c r="E95" s="3" t="n">
        <v>6400</v>
      </c>
      <c r="F95" s="3" t="n">
        <v>15</v>
      </c>
      <c r="G95" s="3" t="n">
        <v>5</v>
      </c>
      <c r="H95" s="3" t="n">
        <v>5</v>
      </c>
      <c r="I95" s="3" t="n">
        <v>5</v>
      </c>
      <c r="J95" s="3" t="n">
        <v>10</v>
      </c>
      <c r="K95" s="3" t="n">
        <v>10</v>
      </c>
      <c r="L95" s="3" t="n">
        <v>5</v>
      </c>
      <c r="M95" s="3" t="n">
        <v>5</v>
      </c>
      <c r="N95" s="3">
        <f>F95*$B$5+G95*$B$6+H95*$B$7+I95*$B$8+J95*$B$9+K95*$B$10+L95*$B$11+M95*$B$12</f>
        <v/>
      </c>
      <c r="O95" s="3">
        <f>N95*設定!$B$2</f>
        <v/>
      </c>
      <c r="P95" s="3">
        <f>(D95-E95)*設定!$B$3-O95-((D95-E95)-O95)*設定!$B$4</f>
        <v/>
      </c>
      <c r="Q95" s="3">
        <f>D95*設定!$B$3-O95-(D95-O95)*設定!$B$4</f>
        <v/>
      </c>
      <c r="R95" s="3">
        <f>P95/C95</f>
        <v/>
      </c>
      <c r="S95" s="3">
        <f>Q95/C95</f>
        <v/>
      </c>
    </row>
    <row r="96">
      <c r="A96" t="inlineStr">
        <is>
          <t>S4-J-NT0270308A</t>
        </is>
      </c>
      <c r="B96" t="inlineStr">
        <is>
          <t>2027/03/08</t>
        </is>
      </c>
      <c r="C96" t="n">
        <v>2</v>
      </c>
      <c r="D96" s="3" t="n">
        <v>89800</v>
      </c>
      <c r="E96" s="3" t="n">
        <v>0</v>
      </c>
      <c r="F96" s="3" t="n">
        <v>6</v>
      </c>
      <c r="G96" s="3" t="n">
        <v>2</v>
      </c>
      <c r="H96" s="3" t="n">
        <v>2</v>
      </c>
      <c r="I96" s="3" t="n">
        <v>2</v>
      </c>
      <c r="J96" s="3" t="n">
        <v>4</v>
      </c>
      <c r="K96" s="3" t="n">
        <v>4</v>
      </c>
      <c r="L96" s="3" t="n">
        <v>2</v>
      </c>
      <c r="M96" s="3" t="n">
        <v>2</v>
      </c>
      <c r="N96" s="3">
        <f>F96*$B$5+G96*$B$6+H96*$B$7+I96*$B$8+J96*$B$9+K96*$B$10+L96*$B$11+M96*$B$12</f>
        <v/>
      </c>
      <c r="O96" s="3">
        <f>N96*設定!$B$2</f>
        <v/>
      </c>
      <c r="P96" s="3">
        <f>(D96-E96)*設定!$B$3-O96-((D96-E96)-O96)*設定!$B$4</f>
        <v/>
      </c>
      <c r="Q96" s="3">
        <f>D96*設定!$B$3-O96-(D96-O96)*設定!$B$4</f>
        <v/>
      </c>
      <c r="R96" s="3">
        <f>P96/C96</f>
        <v/>
      </c>
      <c r="S96" s="3">
        <f>Q96/C96</f>
        <v/>
      </c>
    </row>
    <row r="97">
      <c r="A97" t="inlineStr">
        <is>
          <t>S4-J-NT0270310A</t>
        </is>
      </c>
      <c r="B97" t="inlineStr">
        <is>
          <t>2027/03/10</t>
        </is>
      </c>
      <c r="C97" t="n">
        <v>9</v>
      </c>
      <c r="D97" s="3" t="n">
        <v>416100</v>
      </c>
      <c r="E97" s="3" t="n">
        <v>0</v>
      </c>
      <c r="F97" s="3" t="n">
        <v>30</v>
      </c>
      <c r="G97" s="3" t="n">
        <v>9</v>
      </c>
      <c r="H97" s="3" t="n">
        <v>9</v>
      </c>
      <c r="I97" s="3" t="n">
        <v>9</v>
      </c>
      <c r="J97" s="3" t="n">
        <v>21</v>
      </c>
      <c r="K97" s="3" t="n">
        <v>21</v>
      </c>
      <c r="L97" s="3" t="n">
        <v>9</v>
      </c>
      <c r="M97" s="3" t="n">
        <v>9</v>
      </c>
      <c r="N97" s="3">
        <f>F97*$B$5+G97*$B$6+H97*$B$7+I97*$B$8+J97*$B$9+K97*$B$10+L97*$B$11+M97*$B$12</f>
        <v/>
      </c>
      <c r="O97" s="3">
        <f>N97*設定!$B$2</f>
        <v/>
      </c>
      <c r="P97" s="3">
        <f>(D97-E97)*設定!$B$3-O97-((D97-E97)-O97)*設定!$B$4</f>
        <v/>
      </c>
      <c r="Q97" s="3">
        <f>D97*設定!$B$3-O97-(D97-O97)*設定!$B$4</f>
        <v/>
      </c>
      <c r="R97" s="3">
        <f>P97/C97</f>
        <v/>
      </c>
      <c r="S97" s="3">
        <f>Q97/C97</f>
        <v/>
      </c>
    </row>
    <row r="98">
      <c r="A98" t="inlineStr">
        <is>
          <t>S4-J-NT0270311A</t>
        </is>
      </c>
      <c r="B98" t="inlineStr">
        <is>
          <t>2027/03/11</t>
        </is>
      </c>
      <c r="C98" t="n">
        <v>2</v>
      </c>
      <c r="D98" s="3" t="n">
        <v>91800</v>
      </c>
      <c r="E98" s="3" t="n">
        <v>0</v>
      </c>
      <c r="F98" s="3" t="n">
        <v>6</v>
      </c>
      <c r="G98" s="3" t="n">
        <v>2</v>
      </c>
      <c r="H98" s="3" t="n">
        <v>2</v>
      </c>
      <c r="I98" s="3" t="n">
        <v>2</v>
      </c>
      <c r="J98" s="3" t="n">
        <v>4</v>
      </c>
      <c r="K98" s="3" t="n">
        <v>4</v>
      </c>
      <c r="L98" s="3" t="n">
        <v>2</v>
      </c>
      <c r="M98" s="3" t="n">
        <v>2</v>
      </c>
      <c r="N98" s="3">
        <f>F98*$B$5+G98*$B$6+H98*$B$7+I98*$B$8+J98*$B$9+K98*$B$10+L98*$B$11+M98*$B$12</f>
        <v/>
      </c>
      <c r="O98" s="3">
        <f>N98*設定!$B$2</f>
        <v/>
      </c>
      <c r="P98" s="3">
        <f>(D98-E98)*設定!$B$3-O98-((D98-E98)-O98)*設定!$B$4</f>
        <v/>
      </c>
      <c r="Q98" s="3">
        <f>D98*設定!$B$3-O98-(D98-O98)*設定!$B$4</f>
        <v/>
      </c>
      <c r="R98" s="3">
        <f>P98/C98</f>
        <v/>
      </c>
      <c r="S98" s="3">
        <f>Q98/C98</f>
        <v/>
      </c>
    </row>
    <row r="99">
      <c r="A99" t="inlineStr">
        <is>
          <t>S4-J-NT0270312A</t>
        </is>
      </c>
      <c r="B99" t="inlineStr">
        <is>
          <t>2027/03/12</t>
        </is>
      </c>
      <c r="C99" t="n">
        <v>4</v>
      </c>
      <c r="D99" s="3" t="n">
        <v>186800</v>
      </c>
      <c r="E99" s="3" t="n">
        <v>7200</v>
      </c>
      <c r="F99" s="3" t="n">
        <v>12</v>
      </c>
      <c r="G99" s="3" t="n">
        <v>6</v>
      </c>
      <c r="H99" s="3" t="n">
        <v>4</v>
      </c>
      <c r="I99" s="3" t="n">
        <v>4</v>
      </c>
      <c r="J99" s="3" t="n">
        <v>8</v>
      </c>
      <c r="K99" s="3" t="n">
        <v>8</v>
      </c>
      <c r="L99" s="3" t="n">
        <v>4</v>
      </c>
      <c r="M99" s="3" t="n">
        <v>4</v>
      </c>
      <c r="N99" s="3">
        <f>F99*$B$5+G99*$B$6+H99*$B$7+I99*$B$8+J99*$B$9+K99*$B$10+L99*$B$11+M99*$B$12</f>
        <v/>
      </c>
      <c r="O99" s="3">
        <f>N99*設定!$B$2</f>
        <v/>
      </c>
      <c r="P99" s="3">
        <f>(D99-E99)*設定!$B$3-O99-((D99-E99)-O99)*設定!$B$4</f>
        <v/>
      </c>
      <c r="Q99" s="3">
        <f>D99*設定!$B$3-O99-(D99-O99)*設定!$B$4</f>
        <v/>
      </c>
      <c r="R99" s="3">
        <f>P99/C99</f>
        <v/>
      </c>
      <c r="S99" s="3">
        <f>Q99/C99</f>
        <v/>
      </c>
    </row>
    <row r="100">
      <c r="A100" t="inlineStr">
        <is>
          <t>S4-J-NT0270323A</t>
        </is>
      </c>
      <c r="B100" t="inlineStr">
        <is>
          <t>2027/03/23</t>
        </is>
      </c>
      <c r="C100" t="n">
        <v>2</v>
      </c>
      <c r="D100" s="3" t="n">
        <v>91400</v>
      </c>
      <c r="E100" s="3" t="n">
        <v>3600</v>
      </c>
      <c r="F100" s="3" t="n">
        <v>6</v>
      </c>
      <c r="G100" s="3" t="n">
        <v>2</v>
      </c>
      <c r="H100" s="3" t="n">
        <v>2</v>
      </c>
      <c r="I100" s="3" t="n">
        <v>2</v>
      </c>
      <c r="J100" s="3" t="n">
        <v>4</v>
      </c>
      <c r="K100" s="3" t="n">
        <v>4</v>
      </c>
      <c r="L100" s="3" t="n">
        <v>2</v>
      </c>
      <c r="M100" s="3" t="n">
        <v>2</v>
      </c>
      <c r="N100" s="3">
        <f>F100*$B$5+G100*$B$6+H100*$B$7+I100*$B$8+J100*$B$9+K100*$B$10+L100*$B$11+M100*$B$12</f>
        <v/>
      </c>
      <c r="O100" s="3">
        <f>N100*設定!$B$2</f>
        <v/>
      </c>
      <c r="P100" s="3">
        <f>(D100-E100)*設定!$B$3-O100-((D100-E100)-O100)*設定!$B$4</f>
        <v/>
      </c>
      <c r="Q100" s="3">
        <f>D100*設定!$B$3-O100-(D100-O100)*設定!$B$4</f>
        <v/>
      </c>
      <c r="R100" s="3">
        <f>P100/C100</f>
        <v/>
      </c>
      <c r="S100" s="3">
        <f>Q100/C100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斑尾含機票(團號 含A)</t>
        </is>
      </c>
    </row>
    <row r="2">
      <c r="A2" t="inlineStr">
        <is>
          <t>人數</t>
        </is>
      </c>
      <c r="B2">
        <f>SUM(C33:C46)</f>
        <v/>
      </c>
    </row>
    <row r="4">
      <c r="A4" s="2" t="inlineStr">
        <is>
          <t>項目</t>
        </is>
      </c>
      <c r="B4" s="2" t="inlineStr">
        <is>
          <t>單價(日幣,在設定分頁填)</t>
        </is>
      </c>
      <c r="C4" s="2" t="inlineStr">
        <is>
          <t>數量</t>
        </is>
      </c>
      <c r="D4" s="2" t="inlineStr">
        <is>
          <t>日幣總價</t>
        </is>
      </c>
      <c r="E4" s="2" t="inlineStr">
        <is>
          <t>台幣總價</t>
        </is>
      </c>
      <c r="F4" s="2" t="inlineStr">
        <is>
          <t>每人數量</t>
        </is>
      </c>
      <c r="G4" s="2" t="inlineStr">
        <is>
          <t>每人台幣</t>
        </is>
      </c>
      <c r="H4" s="2" t="inlineStr">
        <is>
          <t>數量算法</t>
        </is>
      </c>
    </row>
    <row r="5">
      <c r="A5" t="inlineStr">
        <is>
          <t>斑尾住宿(1泊)</t>
        </is>
      </c>
      <c r="B5" s="3">
        <f>設定!$C$26</f>
        <v/>
      </c>
      <c r="C5" s="3">
        <f>SUM(F33:F46)</f>
        <v/>
      </c>
      <c r="D5" s="3">
        <f>B5*C5</f>
        <v/>
      </c>
      <c r="E5" s="3">
        <f>D5*設定!$B$2</f>
        <v/>
      </c>
      <c r="F5" s="3">
        <f>IF($B$2=0,0,C5/$B$2)</f>
        <v/>
      </c>
      <c r="G5" s="3">
        <f>IF($B$2=0,0,E5/$B$2)</f>
        <v/>
      </c>
      <c r="H5" t="inlineStr">
        <is>
          <t>標準3泊 + 續滑天數(保留市區住宿者不加)</t>
        </is>
      </c>
    </row>
    <row r="6">
      <c r="A6" t="inlineStr">
        <is>
          <t>東京住宿(1泊)</t>
        </is>
      </c>
      <c r="B6" s="3">
        <f>設定!$C$27</f>
        <v/>
      </c>
      <c r="C6" s="3">
        <f>SUM(G33:G46)</f>
        <v/>
      </c>
      <c r="D6" s="3">
        <f>B6*C6</f>
        <v/>
      </c>
      <c r="E6" s="3">
        <f>D6*設定!$B$2</f>
        <v/>
      </c>
      <c r="F6" s="3">
        <f>IF($B$2=0,0,C6/$B$2)</f>
        <v/>
      </c>
      <c r="G6" s="3">
        <f>IF($B$2=0,0,E6/$B$2)</f>
        <v/>
      </c>
      <c r="H6" t="inlineStr">
        <is>
          <t>標準1泊 + 市區續住;取消者標準為0</t>
        </is>
      </c>
    </row>
    <row r="7">
      <c r="A7" t="inlineStr">
        <is>
          <t>交通 機場&gt;雪場</t>
        </is>
      </c>
      <c r="B7" s="3">
        <f>設定!$C$28</f>
        <v/>
      </c>
      <c r="C7" s="3">
        <f>SUM(H33:H46)</f>
        <v/>
      </c>
      <c r="D7" s="3">
        <f>B7*C7</f>
        <v/>
      </c>
      <c r="E7" s="3">
        <f>D7*設定!$B$2</f>
        <v/>
      </c>
      <c r="F7" s="3">
        <f>IF($B$2=0,0,C7/$B$2)</f>
        <v/>
      </c>
      <c r="G7" s="3">
        <f>IF($B$2=0,0,E7/$B$2)</f>
        <v/>
      </c>
      <c r="H7" t="inlineStr">
        <is>
          <t>每人1</t>
        </is>
      </c>
    </row>
    <row r="8">
      <c r="A8" t="inlineStr">
        <is>
          <t>交通 雪場&gt;市區</t>
        </is>
      </c>
      <c r="B8" s="3">
        <f>設定!$C$29</f>
        <v/>
      </c>
      <c r="C8" s="3">
        <f>SUM(I33:I46)</f>
        <v/>
      </c>
      <c r="D8" s="3">
        <f>B8*C8</f>
        <v/>
      </c>
      <c r="E8" s="3">
        <f>D8*設定!$B$2</f>
        <v/>
      </c>
      <c r="F8" s="3">
        <f>IF($B$2=0,0,C8/$B$2)</f>
        <v/>
      </c>
      <c r="G8" s="3">
        <f>IF($B$2=0,0,E8/$B$2)</f>
        <v/>
      </c>
      <c r="H8" t="inlineStr">
        <is>
          <t>每人1</t>
        </is>
      </c>
    </row>
    <row r="9">
      <c r="A9" t="inlineStr">
        <is>
          <t>雪票(1日)</t>
        </is>
      </c>
      <c r="B9" s="3">
        <f>設定!$C$30</f>
        <v/>
      </c>
      <c r="C9" s="3">
        <f>SUM(J33:J46)</f>
        <v/>
      </c>
      <c r="D9" s="3">
        <f>B9*C9</f>
        <v/>
      </c>
      <c r="E9" s="3">
        <f>D9*設定!$B$2</f>
        <v/>
      </c>
      <c r="F9" s="3">
        <f>IF($B$2=0,0,C9/$B$2)</f>
        <v/>
      </c>
      <c r="G9" s="3">
        <f>IF($B$2=0,0,E9/$B$2)</f>
        <v/>
      </c>
      <c r="H9" t="inlineStr">
        <is>
          <t>標準2日 + 續滑天數</t>
        </is>
      </c>
    </row>
    <row r="10">
      <c r="A10" t="inlineStr">
        <is>
          <t>三點set</t>
        </is>
      </c>
      <c r="B10" s="3">
        <f>設定!$C$31</f>
        <v/>
      </c>
      <c r="C10" s="3">
        <f>SUM(K33:K46)</f>
        <v/>
      </c>
      <c r="D10" s="3">
        <f>B10*C10</f>
        <v/>
      </c>
      <c r="E10" s="3">
        <f>D10*設定!$B$2</f>
        <v/>
      </c>
      <c r="F10" s="3">
        <f>IF($B$2=0,0,C10/$B$2)</f>
        <v/>
      </c>
      <c r="G10" s="3">
        <f>IF($B$2=0,0,E10/$B$2)</f>
        <v/>
      </c>
      <c r="H10" t="inlineStr">
        <is>
          <t>標準2日 + 續滑天數</t>
        </is>
      </c>
    </row>
    <row r="11">
      <c r="A11" t="inlineStr">
        <is>
          <t>下山接駁</t>
        </is>
      </c>
      <c r="B11" s="3">
        <f>設定!$C$32</f>
        <v/>
      </c>
      <c r="C11" s="3">
        <f>SUM(L33:L46)</f>
        <v/>
      </c>
      <c r="D11" s="3">
        <f>B11*C11</f>
        <v/>
      </c>
      <c r="E11" s="3">
        <f>D11*設定!$B$2</f>
        <v/>
      </c>
      <c r="F11" s="3">
        <f>IF($B$2=0,0,C11/$B$2)</f>
        <v/>
      </c>
      <c r="G11" s="3">
        <f>IF($B$2=0,0,E11/$B$2)</f>
        <v/>
      </c>
      <c r="H11" t="inlineStr">
        <is>
          <t>每人1</t>
        </is>
      </c>
    </row>
    <row r="12">
      <c r="A12" t="inlineStr">
        <is>
          <t>機票</t>
        </is>
      </c>
      <c r="B12" s="3">
        <f>設定!$C$33</f>
        <v/>
      </c>
      <c r="C12" s="3">
        <f>SUM(M33:M46)</f>
        <v/>
      </c>
      <c r="D12" s="3">
        <f>B12*C12</f>
        <v/>
      </c>
      <c r="E12" s="3">
        <f>D12*設定!$B$2</f>
        <v/>
      </c>
      <c r="F12" s="3">
        <f>IF($B$2=0,0,C12/$B$2)</f>
        <v/>
      </c>
      <c r="G12" s="3">
        <f>IF($B$2=0,0,E12/$B$2)</f>
        <v/>
      </c>
      <c r="H12" t="inlineStr">
        <is>
          <t>每人1</t>
        </is>
      </c>
    </row>
    <row r="13">
      <c r="A13" t="inlineStr">
        <is>
          <t>保險</t>
        </is>
      </c>
      <c r="B13" s="3">
        <f>設定!$C$34</f>
        <v/>
      </c>
      <c r="C13" s="3">
        <f>SUM(N33:N46)</f>
        <v/>
      </c>
      <c r="D13" s="3">
        <f>B13*C13</f>
        <v/>
      </c>
      <c r="E13" s="3">
        <f>D13*設定!$B$2</f>
        <v/>
      </c>
      <c r="F13" s="3">
        <f>IF($B$2=0,0,C13/$B$2)</f>
        <v/>
      </c>
      <c r="G13" s="3">
        <f>IF($B$2=0,0,E13/$B$2)</f>
        <v/>
      </c>
      <c r="H13" t="inlineStr">
        <is>
          <t>每人1</t>
        </is>
      </c>
    </row>
    <row r="14">
      <c r="A14" s="4" t="inlineStr">
        <is>
          <t>總成本</t>
        </is>
      </c>
      <c r="B14" s="3" t="n"/>
      <c r="C14" s="3" t="n"/>
      <c r="D14" s="3">
        <f>SUM(D5:D13)</f>
        <v/>
      </c>
      <c r="E14" s="3">
        <f>SUM(E5:E13)</f>
        <v/>
      </c>
      <c r="F14" s="3" t="n"/>
      <c r="G14" s="3">
        <f>SUM(G5:G13)</f>
        <v/>
      </c>
    </row>
    <row r="15">
      <c r="B15" s="3" t="n"/>
      <c r="C15" s="3" t="n"/>
      <c r="D15" s="3" t="n"/>
      <c r="E15" s="3" t="n"/>
      <c r="F15" s="3" t="n"/>
      <c r="G15" s="3" t="n"/>
    </row>
    <row r="16">
      <c r="A16" s="2" t="inlineStr">
        <is>
          <t>結果(台幣)</t>
        </is>
      </c>
      <c r="B16" s="6" t="inlineStr">
        <is>
          <t>版本一(不計租借收入)</t>
        </is>
      </c>
      <c r="C16" s="6" t="inlineStr">
        <is>
          <t>版本二(含租借收入)</t>
        </is>
      </c>
      <c r="D16" s="3" t="n"/>
      <c r="E16" s="3" t="n"/>
      <c r="F16" s="3" t="n"/>
      <c r="G16" s="3" t="n"/>
    </row>
    <row r="17">
      <c r="A17" t="inlineStr">
        <is>
          <t>總收入(原始團費)</t>
        </is>
      </c>
      <c r="B17" s="3">
        <f>SUM(D33:D46)</f>
        <v/>
      </c>
      <c r="C17" s="3">
        <f>SUM(D33:D46)</f>
        <v/>
      </c>
      <c r="D17" s="3" t="n"/>
      <c r="E17" s="3" t="n"/>
      <c r="F17" s="3" t="n"/>
      <c r="G17" s="3" t="n"/>
    </row>
    <row r="18">
      <c r="A18" t="inlineStr">
        <is>
          <t>租借收入(依租借欄位估算)</t>
        </is>
      </c>
      <c r="B18" s="3">
        <f>SUM(E33:E46)</f>
        <v/>
      </c>
      <c r="C18" s="3">
        <f>SUM(E33:E46)</f>
        <v/>
      </c>
      <c r="D18" s="3" t="n"/>
      <c r="E18" s="3" t="n"/>
      <c r="F18" s="3" t="n"/>
      <c r="G18" s="3" t="n"/>
    </row>
    <row r="19">
      <c r="A19" t="inlineStr">
        <is>
          <t>計入收入</t>
        </is>
      </c>
      <c r="B19" s="3">
        <f>B17-B18</f>
        <v/>
      </c>
      <c r="C19" s="3">
        <f>C17</f>
        <v/>
      </c>
      <c r="D19" s="3" t="n"/>
      <c r="E19" s="3" t="n"/>
      <c r="F19" s="3" t="n"/>
      <c r="G19" s="3" t="n"/>
    </row>
    <row r="20">
      <c r="A20" t="inlineStr">
        <is>
          <t>刷卡後收入(×係數)</t>
        </is>
      </c>
      <c r="B20" s="3">
        <f>B19*設定!$B$3</f>
        <v/>
      </c>
      <c r="C20" s="3">
        <f>C19*設定!$B$3</f>
        <v/>
      </c>
      <c r="D20" s="3" t="n"/>
      <c r="E20" s="3" t="n"/>
      <c r="F20" s="3" t="n"/>
      <c r="G20" s="3" t="n"/>
    </row>
    <row r="21">
      <c r="A21" t="inlineStr">
        <is>
          <t>總成本</t>
        </is>
      </c>
      <c r="B21" s="3">
        <f>$E$14</f>
        <v/>
      </c>
      <c r="C21" s="3">
        <f>$E$14</f>
        <v/>
      </c>
      <c r="D21" s="3" t="n"/>
      <c r="E21" s="3" t="n"/>
      <c r="F21" s="3" t="n"/>
      <c r="G21" s="3" t="n"/>
    </row>
    <row r="22">
      <c r="A22" t="inlineStr">
        <is>
          <t>稅 (計入收入−總成本)×稅率</t>
        </is>
      </c>
      <c r="B22" s="3">
        <f>(B19-B21)*設定!$B$4</f>
        <v/>
      </c>
      <c r="C22" s="3">
        <f>(C19-C21)*設定!$B$4</f>
        <v/>
      </c>
      <c r="D22" s="3" t="n"/>
      <c r="E22" s="3" t="n"/>
      <c r="F22" s="3" t="n"/>
      <c r="G22" s="3" t="n"/>
    </row>
    <row r="23">
      <c r="A23" s="7" t="inlineStr">
        <is>
          <t>最後結果</t>
        </is>
      </c>
      <c r="B23" s="8">
        <f>B20-B21-B22</f>
        <v/>
      </c>
      <c r="C23" s="8">
        <f>C20-C21-C22</f>
        <v/>
      </c>
      <c r="D23" s="3" t="n"/>
      <c r="E23" s="3" t="n"/>
      <c r="F23" s="3" t="n"/>
      <c r="G23" s="3" t="n"/>
    </row>
    <row r="24">
      <c r="A24" t="inlineStr">
        <is>
          <t>每人 計入收入</t>
        </is>
      </c>
      <c r="B24" s="3">
        <f>IF($B$2=0,0,B19/$B$2)</f>
        <v/>
      </c>
      <c r="C24" s="3">
        <f>IF($B$2=0,0,C19/$B$2)</f>
        <v/>
      </c>
      <c r="D24" s="3" t="n"/>
      <c r="E24" s="3" t="n"/>
      <c r="F24" s="3" t="n"/>
      <c r="G24" s="3" t="n"/>
    </row>
    <row r="25">
      <c r="A25" t="inlineStr">
        <is>
          <t>每人 總成本</t>
        </is>
      </c>
      <c r="B25" s="3">
        <f>IF($B$2=0,0,B21/$B$2)</f>
        <v/>
      </c>
      <c r="C25" s="3">
        <f>IF($B$2=0,0,C21/$B$2)</f>
        <v/>
      </c>
      <c r="D25" s="3" t="n"/>
      <c r="E25" s="3" t="n"/>
      <c r="F25" s="3" t="n"/>
      <c r="G25" s="3" t="n"/>
    </row>
    <row r="26">
      <c r="A26" t="inlineStr">
        <is>
          <t>每人 結果</t>
        </is>
      </c>
      <c r="B26" s="3">
        <f>IF($B$2=0,0,B23/$B$2)</f>
        <v/>
      </c>
      <c r="C26" s="3">
        <f>IF($B$2=0,0,C23/$B$2)</f>
        <v/>
      </c>
      <c r="D26" s="3" t="n"/>
      <c r="E26" s="3" t="n"/>
      <c r="F26" s="3" t="n"/>
      <c r="G26" s="3" t="n"/>
    </row>
    <row r="27">
      <c r="B27" s="3" t="n"/>
      <c r="C27" s="3" t="n"/>
      <c r="D27" s="3" t="n"/>
      <c r="E27" s="3" t="n"/>
      <c r="F27" s="3" t="n"/>
      <c r="G27" s="3" t="n"/>
    </row>
    <row r="31">
      <c r="A31" s="4" t="inlineStr">
        <is>
          <t>團別明細(數量來自原始資料;成本用上方單價計算)</t>
        </is>
      </c>
    </row>
    <row r="32">
      <c r="A32" s="2" t="inlineStr">
        <is>
          <t>團號</t>
        </is>
      </c>
      <c r="B32" s="2" t="inlineStr">
        <is>
          <t>出發日</t>
        </is>
      </c>
      <c r="C32" s="2" t="inlineStr">
        <is>
          <t>人數</t>
        </is>
      </c>
      <c r="D32" s="2" t="inlineStr">
        <is>
          <t>總收入</t>
        </is>
      </c>
      <c r="E32" s="2" t="inlineStr">
        <is>
          <t>租借收入(估)</t>
        </is>
      </c>
      <c r="F32" s="2" t="inlineStr">
        <is>
          <t>斑尾住宿(1泊)</t>
        </is>
      </c>
      <c r="G32" s="2" t="inlineStr">
        <is>
          <t>東京住宿(1泊)</t>
        </is>
      </c>
      <c r="H32" s="2" t="inlineStr">
        <is>
          <t>交通 機場&gt;雪場</t>
        </is>
      </c>
      <c r="I32" s="2" t="inlineStr">
        <is>
          <t>交通 雪場&gt;市區</t>
        </is>
      </c>
      <c r="J32" s="2" t="inlineStr">
        <is>
          <t>雪票(1日)</t>
        </is>
      </c>
      <c r="K32" s="2" t="inlineStr">
        <is>
          <t>三點set</t>
        </is>
      </c>
      <c r="L32" s="2" t="inlineStr">
        <is>
          <t>下山接駁</t>
        </is>
      </c>
      <c r="M32" s="2" t="inlineStr">
        <is>
          <t>機票</t>
        </is>
      </c>
      <c r="N32" s="2" t="inlineStr">
        <is>
          <t>保險</t>
        </is>
      </c>
      <c r="O32" s="2" t="inlineStr">
        <is>
          <t>日幣成本</t>
        </is>
      </c>
      <c r="P32" s="2" t="inlineStr">
        <is>
          <t>台幣成本</t>
        </is>
      </c>
      <c r="Q32" s="2" t="inlineStr">
        <is>
          <t>版本一結果</t>
        </is>
      </c>
      <c r="R32" s="2" t="inlineStr">
        <is>
          <t>版本二結果</t>
        </is>
      </c>
      <c r="S32" s="2" t="inlineStr">
        <is>
          <t>每人 版本一</t>
        </is>
      </c>
      <c r="T32" s="2" t="inlineStr">
        <is>
          <t>每人 版本二</t>
        </is>
      </c>
    </row>
    <row r="33">
      <c r="A33" t="inlineStr">
        <is>
          <t>S4-J-BTA261218A</t>
        </is>
      </c>
      <c r="B33" t="inlineStr">
        <is>
          <t>2026/12/18</t>
        </is>
      </c>
      <c r="C33" t="n">
        <v>2</v>
      </c>
      <c r="D33" s="3" t="n">
        <v>134200</v>
      </c>
      <c r="E33" s="3" t="n">
        <v>6400</v>
      </c>
      <c r="F33" s="3" t="n">
        <v>6</v>
      </c>
      <c r="G33" s="3" t="n">
        <v>2</v>
      </c>
      <c r="H33" s="3" t="n">
        <v>2</v>
      </c>
      <c r="I33" s="3" t="n">
        <v>2</v>
      </c>
      <c r="J33" s="3" t="n">
        <v>4</v>
      </c>
      <c r="K33" s="3" t="n">
        <v>4</v>
      </c>
      <c r="L33" s="3" t="n">
        <v>2</v>
      </c>
      <c r="M33" s="3" t="n">
        <v>2</v>
      </c>
      <c r="N33" s="3" t="n">
        <v>2</v>
      </c>
      <c r="O33" s="3">
        <f>F33*$B$5+G33*$B$6+H33*$B$7+I33*$B$8+J33*$B$9+K33*$B$10+L33*$B$11+M33*$B$12+N33*$B$13</f>
        <v/>
      </c>
      <c r="P33" s="3">
        <f>O33*設定!$B$2</f>
        <v/>
      </c>
      <c r="Q33" s="3">
        <f>(D33-E33)*設定!$B$3-P33-((D33-E33)-P33)*設定!$B$4</f>
        <v/>
      </c>
      <c r="R33" s="3">
        <f>D33*設定!$B$3-P33-(D33-P33)*設定!$B$4</f>
        <v/>
      </c>
      <c r="S33" s="3">
        <f>Q33/C33</f>
        <v/>
      </c>
      <c r="T33" s="3">
        <f>R33/C33</f>
        <v/>
      </c>
    </row>
    <row r="34">
      <c r="A34" t="inlineStr">
        <is>
          <t>S4-J-BTA270112A</t>
        </is>
      </c>
      <c r="B34" t="inlineStr">
        <is>
          <t>2027/01/12</t>
        </is>
      </c>
      <c r="C34" t="n">
        <v>2</v>
      </c>
      <c r="D34" s="3" t="n">
        <v>138200</v>
      </c>
      <c r="E34" s="3" t="n">
        <v>6400</v>
      </c>
      <c r="F34" s="3" t="n">
        <v>6</v>
      </c>
      <c r="G34" s="3" t="n">
        <v>2</v>
      </c>
      <c r="H34" s="3" t="n">
        <v>2</v>
      </c>
      <c r="I34" s="3" t="n">
        <v>2</v>
      </c>
      <c r="J34" s="3" t="n">
        <v>4</v>
      </c>
      <c r="K34" s="3" t="n">
        <v>4</v>
      </c>
      <c r="L34" s="3" t="n">
        <v>2</v>
      </c>
      <c r="M34" s="3" t="n">
        <v>2</v>
      </c>
      <c r="N34" s="3" t="n">
        <v>2</v>
      </c>
      <c r="O34" s="3">
        <f>F34*$B$5+G34*$B$6+H34*$B$7+I34*$B$8+J34*$B$9+K34*$B$10+L34*$B$11+M34*$B$12+N34*$B$13</f>
        <v/>
      </c>
      <c r="P34" s="3">
        <f>O34*設定!$B$2</f>
        <v/>
      </c>
      <c r="Q34" s="3">
        <f>(D34-E34)*設定!$B$3-P34-((D34-E34)-P34)*設定!$B$4</f>
        <v/>
      </c>
      <c r="R34" s="3">
        <f>D34*設定!$B$3-P34-(D34-P34)*設定!$B$4</f>
        <v/>
      </c>
      <c r="S34" s="3">
        <f>Q34/C34</f>
        <v/>
      </c>
      <c r="T34" s="3">
        <f>R34/C34</f>
        <v/>
      </c>
    </row>
    <row r="35">
      <c r="A35" t="inlineStr">
        <is>
          <t>S4-J-BTA270113A</t>
        </is>
      </c>
      <c r="B35" t="inlineStr">
        <is>
          <t>2027/01/13</t>
        </is>
      </c>
      <c r="C35" t="n">
        <v>4</v>
      </c>
      <c r="D35" s="3" t="n">
        <v>272400</v>
      </c>
      <c r="E35" s="3" t="n">
        <v>12800</v>
      </c>
      <c r="F35" s="3" t="n">
        <v>12</v>
      </c>
      <c r="G35" s="3" t="n">
        <v>4</v>
      </c>
      <c r="H35" s="3" t="n">
        <v>4</v>
      </c>
      <c r="I35" s="3" t="n">
        <v>4</v>
      </c>
      <c r="J35" s="3" t="n">
        <v>8</v>
      </c>
      <c r="K35" s="3" t="n">
        <v>8</v>
      </c>
      <c r="L35" s="3" t="n">
        <v>4</v>
      </c>
      <c r="M35" s="3" t="n">
        <v>4</v>
      </c>
      <c r="N35" s="3" t="n">
        <v>4</v>
      </c>
      <c r="O35" s="3">
        <f>F35*$B$5+G35*$B$6+H35*$B$7+I35*$B$8+J35*$B$9+K35*$B$10+L35*$B$11+M35*$B$12+N35*$B$13</f>
        <v/>
      </c>
      <c r="P35" s="3">
        <f>O35*設定!$B$2</f>
        <v/>
      </c>
      <c r="Q35" s="3">
        <f>(D35-E35)*設定!$B$3-P35-((D35-E35)-P35)*設定!$B$4</f>
        <v/>
      </c>
      <c r="R35" s="3">
        <f>D35*設定!$B$3-P35-(D35-P35)*設定!$B$4</f>
        <v/>
      </c>
      <c r="S35" s="3">
        <f>Q35/C35</f>
        <v/>
      </c>
      <c r="T35" s="3">
        <f>R35/C35</f>
        <v/>
      </c>
    </row>
    <row r="36">
      <c r="A36" t="inlineStr">
        <is>
          <t>S4-J-BTA270114A</t>
        </is>
      </c>
      <c r="B36" t="inlineStr">
        <is>
          <t>2027/01/14</t>
        </is>
      </c>
      <c r="C36" t="n">
        <v>3</v>
      </c>
      <c r="D36" s="3" t="n">
        <v>196900</v>
      </c>
      <c r="E36" s="3" t="n">
        <v>1200</v>
      </c>
      <c r="F36" s="3" t="n">
        <v>9</v>
      </c>
      <c r="G36" s="3" t="n">
        <v>3</v>
      </c>
      <c r="H36" s="3" t="n">
        <v>3</v>
      </c>
      <c r="I36" s="3" t="n">
        <v>3</v>
      </c>
      <c r="J36" s="3" t="n">
        <v>6</v>
      </c>
      <c r="K36" s="3" t="n">
        <v>6</v>
      </c>
      <c r="L36" s="3" t="n">
        <v>3</v>
      </c>
      <c r="M36" s="3" t="n">
        <v>3</v>
      </c>
      <c r="N36" s="3" t="n">
        <v>3</v>
      </c>
      <c r="O36" s="3">
        <f>F36*$B$5+G36*$B$6+H36*$B$7+I36*$B$8+J36*$B$9+K36*$B$10+L36*$B$11+M36*$B$12+N36*$B$13</f>
        <v/>
      </c>
      <c r="P36" s="3">
        <f>O36*設定!$B$2</f>
        <v/>
      </c>
      <c r="Q36" s="3">
        <f>(D36-E36)*設定!$B$3-P36-((D36-E36)-P36)*設定!$B$4</f>
        <v/>
      </c>
      <c r="R36" s="3">
        <f>D36*設定!$B$3-P36-(D36-P36)*設定!$B$4</f>
        <v/>
      </c>
      <c r="S36" s="3">
        <f>Q36/C36</f>
        <v/>
      </c>
      <c r="T36" s="3">
        <f>R36/C36</f>
        <v/>
      </c>
    </row>
    <row r="37">
      <c r="A37" t="inlineStr">
        <is>
          <t>S4-J-BTA270115A</t>
        </is>
      </c>
      <c r="B37" t="inlineStr">
        <is>
          <t>2027/01/15</t>
        </is>
      </c>
      <c r="C37" t="n">
        <v>2</v>
      </c>
      <c r="D37" s="3" t="n">
        <v>139374</v>
      </c>
      <c r="E37" s="3" t="n">
        <v>6400</v>
      </c>
      <c r="F37" s="3" t="n">
        <v>6</v>
      </c>
      <c r="G37" s="3" t="n">
        <v>2</v>
      </c>
      <c r="H37" s="3" t="n">
        <v>2</v>
      </c>
      <c r="I37" s="3" t="n">
        <v>2</v>
      </c>
      <c r="J37" s="3" t="n">
        <v>4</v>
      </c>
      <c r="K37" s="3" t="n">
        <v>4</v>
      </c>
      <c r="L37" s="3" t="n">
        <v>2</v>
      </c>
      <c r="M37" s="3" t="n">
        <v>2</v>
      </c>
      <c r="N37" s="3" t="n">
        <v>2</v>
      </c>
      <c r="O37" s="3">
        <f>F37*$B$5+G37*$B$6+H37*$B$7+I37*$B$8+J37*$B$9+K37*$B$10+L37*$B$11+M37*$B$12+N37*$B$13</f>
        <v/>
      </c>
      <c r="P37" s="3">
        <f>O37*設定!$B$2</f>
        <v/>
      </c>
      <c r="Q37" s="3">
        <f>(D37-E37)*設定!$B$3-P37-((D37-E37)-P37)*設定!$B$4</f>
        <v/>
      </c>
      <c r="R37" s="3">
        <f>D37*設定!$B$3-P37-(D37-P37)*設定!$B$4</f>
        <v/>
      </c>
      <c r="S37" s="3">
        <f>Q37/C37</f>
        <v/>
      </c>
      <c r="T37" s="3">
        <f>R37/C37</f>
        <v/>
      </c>
    </row>
    <row r="38">
      <c r="A38" t="inlineStr">
        <is>
          <t>S4-J-BTA270118A</t>
        </is>
      </c>
      <c r="B38" t="inlineStr">
        <is>
          <t>2027/01/18</t>
        </is>
      </c>
      <c r="C38" t="n">
        <v>3</v>
      </c>
      <c r="D38" s="3" t="n">
        <v>204300</v>
      </c>
      <c r="E38" s="3" t="n">
        <v>9600</v>
      </c>
      <c r="F38" s="3" t="n">
        <v>9</v>
      </c>
      <c r="G38" s="3" t="n">
        <v>3</v>
      </c>
      <c r="H38" s="3" t="n">
        <v>3</v>
      </c>
      <c r="I38" s="3" t="n">
        <v>3</v>
      </c>
      <c r="J38" s="3" t="n">
        <v>6</v>
      </c>
      <c r="K38" s="3" t="n">
        <v>6</v>
      </c>
      <c r="L38" s="3" t="n">
        <v>3</v>
      </c>
      <c r="M38" s="3" t="n">
        <v>3</v>
      </c>
      <c r="N38" s="3" t="n">
        <v>3</v>
      </c>
      <c r="O38" s="3">
        <f>F38*$B$5+G38*$B$6+H38*$B$7+I38*$B$8+J38*$B$9+K38*$B$10+L38*$B$11+M38*$B$12+N38*$B$13</f>
        <v/>
      </c>
      <c r="P38" s="3">
        <f>O38*設定!$B$2</f>
        <v/>
      </c>
      <c r="Q38" s="3">
        <f>(D38-E38)*設定!$B$3-P38-((D38-E38)-P38)*設定!$B$4</f>
        <v/>
      </c>
      <c r="R38" s="3">
        <f>D38*設定!$B$3-P38-(D38-P38)*設定!$B$4</f>
        <v/>
      </c>
      <c r="S38" s="3">
        <f>Q38/C38</f>
        <v/>
      </c>
      <c r="T38" s="3">
        <f>R38/C38</f>
        <v/>
      </c>
    </row>
    <row r="39">
      <c r="A39" t="inlineStr">
        <is>
          <t>S4-J-BTA270119A</t>
        </is>
      </c>
      <c r="B39" t="inlineStr">
        <is>
          <t>2027/01/19</t>
        </is>
      </c>
      <c r="C39" t="n">
        <v>5</v>
      </c>
      <c r="D39" s="3" t="n">
        <v>359500</v>
      </c>
      <c r="E39" s="3" t="n">
        <v>16000</v>
      </c>
      <c r="F39" s="3" t="n">
        <v>15</v>
      </c>
      <c r="G39" s="3" t="n">
        <v>5</v>
      </c>
      <c r="H39" s="3" t="n">
        <v>5</v>
      </c>
      <c r="I39" s="3" t="n">
        <v>5</v>
      </c>
      <c r="J39" s="3" t="n">
        <v>10</v>
      </c>
      <c r="K39" s="3" t="n">
        <v>10</v>
      </c>
      <c r="L39" s="3" t="n">
        <v>5</v>
      </c>
      <c r="M39" s="3" t="n">
        <v>5</v>
      </c>
      <c r="N39" s="3" t="n">
        <v>5</v>
      </c>
      <c r="O39" s="3">
        <f>F39*$B$5+G39*$B$6+H39*$B$7+I39*$B$8+J39*$B$9+K39*$B$10+L39*$B$11+M39*$B$12+N39*$B$13</f>
        <v/>
      </c>
      <c r="P39" s="3">
        <f>O39*設定!$B$2</f>
        <v/>
      </c>
      <c r="Q39" s="3">
        <f>(D39-E39)*設定!$B$3-P39-((D39-E39)-P39)*設定!$B$4</f>
        <v/>
      </c>
      <c r="R39" s="3">
        <f>D39*設定!$B$3-P39-(D39-P39)*設定!$B$4</f>
        <v/>
      </c>
      <c r="S39" s="3">
        <f>Q39/C39</f>
        <v/>
      </c>
      <c r="T39" s="3">
        <f>R39/C39</f>
        <v/>
      </c>
    </row>
    <row r="40">
      <c r="A40" t="inlineStr">
        <is>
          <t>S4-J-BTA270220A</t>
        </is>
      </c>
      <c r="B40" t="inlineStr">
        <is>
          <t>2027/02/20</t>
        </is>
      </c>
      <c r="C40" t="n">
        <v>4</v>
      </c>
      <c r="D40" s="3" t="n">
        <v>268880</v>
      </c>
      <c r="E40" s="3" t="n">
        <v>0</v>
      </c>
      <c r="F40" s="3" t="n">
        <v>12</v>
      </c>
      <c r="G40" s="3" t="n">
        <v>4</v>
      </c>
      <c r="H40" s="3" t="n">
        <v>4</v>
      </c>
      <c r="I40" s="3" t="n">
        <v>4</v>
      </c>
      <c r="J40" s="3" t="n">
        <v>8</v>
      </c>
      <c r="K40" s="3" t="n">
        <v>8</v>
      </c>
      <c r="L40" s="3" t="n">
        <v>4</v>
      </c>
      <c r="M40" s="3" t="n">
        <v>4</v>
      </c>
      <c r="N40" s="3" t="n">
        <v>4</v>
      </c>
      <c r="O40" s="3">
        <f>F40*$B$5+G40*$B$6+H40*$B$7+I40*$B$8+J40*$B$9+K40*$B$10+L40*$B$11+M40*$B$12+N40*$B$13</f>
        <v/>
      </c>
      <c r="P40" s="3">
        <f>O40*設定!$B$2</f>
        <v/>
      </c>
      <c r="Q40" s="3">
        <f>(D40-E40)*設定!$B$3-P40-((D40-E40)-P40)*設定!$B$4</f>
        <v/>
      </c>
      <c r="R40" s="3">
        <f>D40*設定!$B$3-P40-(D40-P40)*設定!$B$4</f>
        <v/>
      </c>
      <c r="S40" s="3">
        <f>Q40/C40</f>
        <v/>
      </c>
      <c r="T40" s="3">
        <f>R40/C40</f>
        <v/>
      </c>
    </row>
    <row r="41">
      <c r="A41" t="inlineStr">
        <is>
          <t>S4-J-BTA270222A</t>
        </is>
      </c>
      <c r="B41" t="inlineStr">
        <is>
          <t>2027/02/22</t>
        </is>
      </c>
      <c r="C41" t="n">
        <v>2</v>
      </c>
      <c r="D41" s="3" t="n">
        <v>131800</v>
      </c>
      <c r="E41" s="3" t="n">
        <v>0</v>
      </c>
      <c r="F41" s="3" t="n">
        <v>6</v>
      </c>
      <c r="G41" s="3" t="n">
        <v>2</v>
      </c>
      <c r="H41" s="3" t="n">
        <v>2</v>
      </c>
      <c r="I41" s="3" t="n">
        <v>2</v>
      </c>
      <c r="J41" s="3" t="n">
        <v>4</v>
      </c>
      <c r="K41" s="3" t="n">
        <v>4</v>
      </c>
      <c r="L41" s="3" t="n">
        <v>2</v>
      </c>
      <c r="M41" s="3" t="n">
        <v>2</v>
      </c>
      <c r="N41" s="3" t="n">
        <v>2</v>
      </c>
      <c r="O41" s="3">
        <f>F41*$B$5+G41*$B$6+H41*$B$7+I41*$B$8+J41*$B$9+K41*$B$10+L41*$B$11+M41*$B$12+N41*$B$13</f>
        <v/>
      </c>
      <c r="P41" s="3">
        <f>O41*設定!$B$2</f>
        <v/>
      </c>
      <c r="Q41" s="3">
        <f>(D41-E41)*設定!$B$3-P41-((D41-E41)-P41)*設定!$B$4</f>
        <v/>
      </c>
      <c r="R41" s="3">
        <f>D41*設定!$B$3-P41-(D41-P41)*設定!$B$4</f>
        <v/>
      </c>
      <c r="S41" s="3">
        <f>Q41/C41</f>
        <v/>
      </c>
      <c r="T41" s="3">
        <f>R41/C41</f>
        <v/>
      </c>
    </row>
    <row r="42">
      <c r="A42" t="inlineStr">
        <is>
          <t>S4-J-BTA270301A</t>
        </is>
      </c>
      <c r="B42" t="inlineStr">
        <is>
          <t>2027/03/01</t>
        </is>
      </c>
      <c r="C42" t="n">
        <v>3</v>
      </c>
      <c r="D42" s="3" t="n">
        <v>194700</v>
      </c>
      <c r="E42" s="3" t="n">
        <v>0</v>
      </c>
      <c r="F42" s="3" t="n">
        <v>9</v>
      </c>
      <c r="G42" s="3" t="n">
        <v>3</v>
      </c>
      <c r="H42" s="3" t="n">
        <v>3</v>
      </c>
      <c r="I42" s="3" t="n">
        <v>3</v>
      </c>
      <c r="J42" s="3" t="n">
        <v>6</v>
      </c>
      <c r="K42" s="3" t="n">
        <v>6</v>
      </c>
      <c r="L42" s="3" t="n">
        <v>3</v>
      </c>
      <c r="M42" s="3" t="n">
        <v>3</v>
      </c>
      <c r="N42" s="3" t="n">
        <v>3</v>
      </c>
      <c r="O42" s="3">
        <f>F42*$B$5+G42*$B$6+H42*$B$7+I42*$B$8+J42*$B$9+K42*$B$10+L42*$B$11+M42*$B$12+N42*$B$13</f>
        <v/>
      </c>
      <c r="P42" s="3">
        <f>O42*設定!$B$2</f>
        <v/>
      </c>
      <c r="Q42" s="3">
        <f>(D42-E42)*設定!$B$3-P42-((D42-E42)-P42)*設定!$B$4</f>
        <v/>
      </c>
      <c r="R42" s="3">
        <f>D42*設定!$B$3-P42-(D42-P42)*設定!$B$4</f>
        <v/>
      </c>
      <c r="S42" s="3">
        <f>Q42/C42</f>
        <v/>
      </c>
      <c r="T42" s="3">
        <f>R42/C42</f>
        <v/>
      </c>
    </row>
    <row r="43">
      <c r="A43" t="inlineStr">
        <is>
          <t>S4-J-BTA270304A</t>
        </is>
      </c>
      <c r="B43" t="inlineStr">
        <is>
          <t>2027/03/04</t>
        </is>
      </c>
      <c r="C43" t="n">
        <v>1</v>
      </c>
      <c r="D43" s="3" t="n">
        <v>86100</v>
      </c>
      <c r="E43" s="3" t="n">
        <v>3200</v>
      </c>
      <c r="F43" s="3" t="n">
        <v>3</v>
      </c>
      <c r="G43" s="3" t="n">
        <v>1</v>
      </c>
      <c r="H43" s="3" t="n">
        <v>1</v>
      </c>
      <c r="I43" s="3" t="n">
        <v>1</v>
      </c>
      <c r="J43" s="3" t="n">
        <v>2</v>
      </c>
      <c r="K43" s="3" t="n">
        <v>2</v>
      </c>
      <c r="L43" s="3" t="n">
        <v>1</v>
      </c>
      <c r="M43" s="3" t="n">
        <v>1</v>
      </c>
      <c r="N43" s="3" t="n">
        <v>1</v>
      </c>
      <c r="O43" s="3">
        <f>F43*$B$5+G43*$B$6+H43*$B$7+I43*$B$8+J43*$B$9+K43*$B$10+L43*$B$11+M43*$B$12+N43*$B$13</f>
        <v/>
      </c>
      <c r="P43" s="3">
        <f>O43*設定!$B$2</f>
        <v/>
      </c>
      <c r="Q43" s="3">
        <f>(D43-E43)*設定!$B$3-P43-((D43-E43)-P43)*設定!$B$4</f>
        <v/>
      </c>
      <c r="R43" s="3">
        <f>D43*設定!$B$3-P43-(D43-P43)*設定!$B$4</f>
        <v/>
      </c>
      <c r="S43" s="3">
        <f>Q43/C43</f>
        <v/>
      </c>
      <c r="T43" s="3">
        <f>R43/C43</f>
        <v/>
      </c>
    </row>
    <row r="44">
      <c r="A44" t="inlineStr">
        <is>
          <t>S4-J-BTA270305A</t>
        </is>
      </c>
      <c r="B44" t="inlineStr">
        <is>
          <t>2027/03/05</t>
        </is>
      </c>
      <c r="C44" t="n">
        <v>2</v>
      </c>
      <c r="D44" s="3" t="n">
        <v>131800</v>
      </c>
      <c r="E44" s="3" t="n">
        <v>0</v>
      </c>
      <c r="F44" s="3" t="n">
        <v>6</v>
      </c>
      <c r="G44" s="3" t="n">
        <v>2</v>
      </c>
      <c r="H44" s="3" t="n">
        <v>2</v>
      </c>
      <c r="I44" s="3" t="n">
        <v>2</v>
      </c>
      <c r="J44" s="3" t="n">
        <v>4</v>
      </c>
      <c r="K44" s="3" t="n">
        <v>4</v>
      </c>
      <c r="L44" s="3" t="n">
        <v>2</v>
      </c>
      <c r="M44" s="3" t="n">
        <v>2</v>
      </c>
      <c r="N44" s="3" t="n">
        <v>2</v>
      </c>
      <c r="O44" s="3">
        <f>F44*$B$5+G44*$B$6+H44*$B$7+I44*$B$8+J44*$B$9+K44*$B$10+L44*$B$11+M44*$B$12+N44*$B$13</f>
        <v/>
      </c>
      <c r="P44" s="3">
        <f>O44*設定!$B$2</f>
        <v/>
      </c>
      <c r="Q44" s="3">
        <f>(D44-E44)*設定!$B$3-P44-((D44-E44)-P44)*設定!$B$4</f>
        <v/>
      </c>
      <c r="R44" s="3">
        <f>D44*設定!$B$3-P44-(D44-P44)*設定!$B$4</f>
        <v/>
      </c>
      <c r="S44" s="3">
        <f>Q44/C44</f>
        <v/>
      </c>
      <c r="T44" s="3">
        <f>R44/C44</f>
        <v/>
      </c>
    </row>
    <row r="45">
      <c r="A45" t="inlineStr">
        <is>
          <t>S4-J-BTA270307A</t>
        </is>
      </c>
      <c r="B45" t="inlineStr">
        <is>
          <t>2027/03/07</t>
        </is>
      </c>
      <c r="C45" t="n">
        <v>1</v>
      </c>
      <c r="D45" s="3" t="n">
        <v>84900</v>
      </c>
      <c r="E45" s="3" t="n">
        <v>0</v>
      </c>
      <c r="F45" s="3" t="n">
        <v>3</v>
      </c>
      <c r="G45" s="3" t="n">
        <v>1</v>
      </c>
      <c r="H45" s="3" t="n">
        <v>1</v>
      </c>
      <c r="I45" s="3" t="n">
        <v>1</v>
      </c>
      <c r="J45" s="3" t="n">
        <v>2</v>
      </c>
      <c r="K45" s="3" t="n">
        <v>2</v>
      </c>
      <c r="L45" s="3" t="n">
        <v>1</v>
      </c>
      <c r="M45" s="3" t="n">
        <v>1</v>
      </c>
      <c r="N45" s="3" t="n">
        <v>1</v>
      </c>
      <c r="O45" s="3">
        <f>F45*$B$5+G45*$B$6+H45*$B$7+I45*$B$8+J45*$B$9+K45*$B$10+L45*$B$11+M45*$B$12+N45*$B$13</f>
        <v/>
      </c>
      <c r="P45" s="3">
        <f>O45*設定!$B$2</f>
        <v/>
      </c>
      <c r="Q45" s="3">
        <f>(D45-E45)*設定!$B$3-P45-((D45-E45)-P45)*設定!$B$4</f>
        <v/>
      </c>
      <c r="R45" s="3">
        <f>D45*設定!$B$3-P45-(D45-P45)*設定!$B$4</f>
        <v/>
      </c>
      <c r="S45" s="3">
        <f>Q45/C45</f>
        <v/>
      </c>
      <c r="T45" s="3">
        <f>R45/C45</f>
        <v/>
      </c>
    </row>
    <row r="46">
      <c r="A46" t="inlineStr">
        <is>
          <t>S4-J-BTA270308A</t>
        </is>
      </c>
      <c r="B46" t="inlineStr">
        <is>
          <t>2027/03/08</t>
        </is>
      </c>
      <c r="C46" t="n">
        <v>4</v>
      </c>
      <c r="D46" s="3" t="n">
        <v>255600</v>
      </c>
      <c r="E46" s="3" t="n">
        <v>0</v>
      </c>
      <c r="F46" s="3" t="n">
        <v>12</v>
      </c>
      <c r="G46" s="3" t="n">
        <v>4</v>
      </c>
      <c r="H46" s="3" t="n">
        <v>4</v>
      </c>
      <c r="I46" s="3" t="n">
        <v>4</v>
      </c>
      <c r="J46" s="3" t="n">
        <v>8</v>
      </c>
      <c r="K46" s="3" t="n">
        <v>8</v>
      </c>
      <c r="L46" s="3" t="n">
        <v>4</v>
      </c>
      <c r="M46" s="3" t="n">
        <v>4</v>
      </c>
      <c r="N46" s="3" t="n">
        <v>4</v>
      </c>
      <c r="O46" s="3">
        <f>F46*$B$5+G46*$B$6+H46*$B$7+I46*$B$8+J46*$B$9+K46*$B$10+L46*$B$11+M46*$B$12+N46*$B$13</f>
        <v/>
      </c>
      <c r="P46" s="3">
        <f>O46*設定!$B$2</f>
        <v/>
      </c>
      <c r="Q46" s="3">
        <f>(D46-E46)*設定!$B$3-P46-((D46-E46)-P46)*設定!$B$4</f>
        <v/>
      </c>
      <c r="R46" s="3">
        <f>D46*設定!$B$3-P46-(D46-P46)*設定!$B$4</f>
        <v/>
      </c>
      <c r="S46" s="3">
        <f>Q46/C46</f>
        <v/>
      </c>
      <c r="T46" s="3">
        <f>R46/C46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斑尾不含機票(團號 無A)</t>
        </is>
      </c>
    </row>
    <row r="2">
      <c r="A2" t="inlineStr">
        <is>
          <t>人數</t>
        </is>
      </c>
      <c r="B2">
        <f>SUM(C32:C92)</f>
        <v/>
      </c>
    </row>
    <row r="4">
      <c r="A4" s="2" t="inlineStr">
        <is>
          <t>項目</t>
        </is>
      </c>
      <c r="B4" s="2" t="inlineStr">
        <is>
          <t>單價(日幣,在設定分頁填)</t>
        </is>
      </c>
      <c r="C4" s="2" t="inlineStr">
        <is>
          <t>數量</t>
        </is>
      </c>
      <c r="D4" s="2" t="inlineStr">
        <is>
          <t>日幣總價</t>
        </is>
      </c>
      <c r="E4" s="2" t="inlineStr">
        <is>
          <t>台幣總價</t>
        </is>
      </c>
      <c r="F4" s="2" t="inlineStr">
        <is>
          <t>每人數量</t>
        </is>
      </c>
      <c r="G4" s="2" t="inlineStr">
        <is>
          <t>每人台幣</t>
        </is>
      </c>
      <c r="H4" s="2" t="inlineStr">
        <is>
          <t>數量算法</t>
        </is>
      </c>
    </row>
    <row r="5">
      <c r="A5" t="inlineStr">
        <is>
          <t>斑尾住宿(1泊)</t>
        </is>
      </c>
      <c r="B5" s="3">
        <f>設定!$C$26</f>
        <v/>
      </c>
      <c r="C5" s="3">
        <f>SUM(F32:F92)</f>
        <v/>
      </c>
      <c r="D5" s="3">
        <f>B5*C5</f>
        <v/>
      </c>
      <c r="E5" s="3">
        <f>D5*設定!$B$2</f>
        <v/>
      </c>
      <c r="F5" s="3">
        <f>IF($B$2=0,0,C5/$B$2)</f>
        <v/>
      </c>
      <c r="G5" s="3">
        <f>IF($B$2=0,0,E5/$B$2)</f>
        <v/>
      </c>
      <c r="H5" t="inlineStr">
        <is>
          <t>標準3泊 + 續滑天數(保留市區住宿者不加)</t>
        </is>
      </c>
    </row>
    <row r="6">
      <c r="A6" t="inlineStr">
        <is>
          <t>東京住宿(1泊)</t>
        </is>
      </c>
      <c r="B6" s="3">
        <f>設定!$C$27</f>
        <v/>
      </c>
      <c r="C6" s="3">
        <f>SUM(G32:G92)</f>
        <v/>
      </c>
      <c r="D6" s="3">
        <f>B6*C6</f>
        <v/>
      </c>
      <c r="E6" s="3">
        <f>D6*設定!$B$2</f>
        <v/>
      </c>
      <c r="F6" s="3">
        <f>IF($B$2=0,0,C6/$B$2)</f>
        <v/>
      </c>
      <c r="G6" s="3">
        <f>IF($B$2=0,0,E6/$B$2)</f>
        <v/>
      </c>
      <c r="H6" t="inlineStr">
        <is>
          <t>標準1泊 + 市區續住;取消者標準為0</t>
        </is>
      </c>
    </row>
    <row r="7">
      <c r="A7" t="inlineStr">
        <is>
          <t>交通 機場&gt;雪場</t>
        </is>
      </c>
      <c r="B7" s="3">
        <f>設定!$C$28</f>
        <v/>
      </c>
      <c r="C7" s="3">
        <f>SUM(H32:H92)</f>
        <v/>
      </c>
      <c r="D7" s="3">
        <f>B7*C7</f>
        <v/>
      </c>
      <c r="E7" s="3">
        <f>D7*設定!$B$2</f>
        <v/>
      </c>
      <c r="F7" s="3">
        <f>IF($B$2=0,0,C7/$B$2)</f>
        <v/>
      </c>
      <c r="G7" s="3">
        <f>IF($B$2=0,0,E7/$B$2)</f>
        <v/>
      </c>
      <c r="H7" t="inlineStr">
        <is>
          <t>每人1</t>
        </is>
      </c>
    </row>
    <row r="8">
      <c r="A8" t="inlineStr">
        <is>
          <t>交通 雪場&gt;市區</t>
        </is>
      </c>
      <c r="B8" s="3">
        <f>設定!$C$29</f>
        <v/>
      </c>
      <c r="C8" s="3">
        <f>SUM(I32:I92)</f>
        <v/>
      </c>
      <c r="D8" s="3">
        <f>B8*C8</f>
        <v/>
      </c>
      <c r="E8" s="3">
        <f>D8*設定!$B$2</f>
        <v/>
      </c>
      <c r="F8" s="3">
        <f>IF($B$2=0,0,C8/$B$2)</f>
        <v/>
      </c>
      <c r="G8" s="3">
        <f>IF($B$2=0,0,E8/$B$2)</f>
        <v/>
      </c>
      <c r="H8" t="inlineStr">
        <is>
          <t>每人1</t>
        </is>
      </c>
    </row>
    <row r="9">
      <c r="A9" t="inlineStr">
        <is>
          <t>雪票(1日)</t>
        </is>
      </c>
      <c r="B9" s="3">
        <f>設定!$C$30</f>
        <v/>
      </c>
      <c r="C9" s="3">
        <f>SUM(J32:J92)</f>
        <v/>
      </c>
      <c r="D9" s="3">
        <f>B9*C9</f>
        <v/>
      </c>
      <c r="E9" s="3">
        <f>D9*設定!$B$2</f>
        <v/>
      </c>
      <c r="F9" s="3">
        <f>IF($B$2=0,0,C9/$B$2)</f>
        <v/>
      </c>
      <c r="G9" s="3">
        <f>IF($B$2=0,0,E9/$B$2)</f>
        <v/>
      </c>
      <c r="H9" t="inlineStr">
        <is>
          <t>標準2日 + 續滑天數</t>
        </is>
      </c>
    </row>
    <row r="10">
      <c r="A10" t="inlineStr">
        <is>
          <t>三點set</t>
        </is>
      </c>
      <c r="B10" s="3">
        <f>設定!$C$31</f>
        <v/>
      </c>
      <c r="C10" s="3">
        <f>SUM(K32:K92)</f>
        <v/>
      </c>
      <c r="D10" s="3">
        <f>B10*C10</f>
        <v/>
      </c>
      <c r="E10" s="3">
        <f>D10*設定!$B$2</f>
        <v/>
      </c>
      <c r="F10" s="3">
        <f>IF($B$2=0,0,C10/$B$2)</f>
        <v/>
      </c>
      <c r="G10" s="3">
        <f>IF($B$2=0,0,E10/$B$2)</f>
        <v/>
      </c>
      <c r="H10" t="inlineStr">
        <is>
          <t>標準2日 + 續滑天數</t>
        </is>
      </c>
    </row>
    <row r="11">
      <c r="A11" t="inlineStr">
        <is>
          <t>下山接駁</t>
        </is>
      </c>
      <c r="B11" s="3">
        <f>設定!$C$32</f>
        <v/>
      </c>
      <c r="C11" s="3">
        <f>SUM(L32:L92)</f>
        <v/>
      </c>
      <c r="D11" s="3">
        <f>B11*C11</f>
        <v/>
      </c>
      <c r="E11" s="3">
        <f>D11*設定!$B$2</f>
        <v/>
      </c>
      <c r="F11" s="3">
        <f>IF($B$2=0,0,C11/$B$2)</f>
        <v/>
      </c>
      <c r="G11" s="3">
        <f>IF($B$2=0,0,E11/$B$2)</f>
        <v/>
      </c>
      <c r="H11" t="inlineStr">
        <is>
          <t>每人1</t>
        </is>
      </c>
    </row>
    <row r="12">
      <c r="A12" t="inlineStr">
        <is>
          <t>保險</t>
        </is>
      </c>
      <c r="B12" s="3">
        <f>設定!$C$34</f>
        <v/>
      </c>
      <c r="C12" s="3">
        <f>SUM(M32:M92)</f>
        <v/>
      </c>
      <c r="D12" s="3">
        <f>B12*C12</f>
        <v/>
      </c>
      <c r="E12" s="3">
        <f>D12*設定!$B$2</f>
        <v/>
      </c>
      <c r="F12" s="3">
        <f>IF($B$2=0,0,C12/$B$2)</f>
        <v/>
      </c>
      <c r="G12" s="3">
        <f>IF($B$2=0,0,E12/$B$2)</f>
        <v/>
      </c>
      <c r="H12" t="inlineStr">
        <is>
          <t>每人1</t>
        </is>
      </c>
    </row>
    <row r="13">
      <c r="A13" s="4" t="inlineStr">
        <is>
          <t>總成本</t>
        </is>
      </c>
      <c r="B13" s="3" t="n"/>
      <c r="C13" s="3" t="n"/>
      <c r="D13" s="3">
        <f>SUM(D5:D12)</f>
        <v/>
      </c>
      <c r="E13" s="3">
        <f>SUM(E5:E12)</f>
        <v/>
      </c>
      <c r="F13" s="3" t="n"/>
      <c r="G13" s="3">
        <f>SUM(G5:G12)</f>
        <v/>
      </c>
    </row>
    <row r="14">
      <c r="B14" s="3" t="n"/>
      <c r="C14" s="3" t="n"/>
      <c r="D14" s="3" t="n"/>
      <c r="E14" s="3" t="n"/>
      <c r="F14" s="3" t="n"/>
      <c r="G14" s="3" t="n"/>
    </row>
    <row r="15">
      <c r="A15" s="2" t="inlineStr">
        <is>
          <t>結果(台幣)</t>
        </is>
      </c>
      <c r="B15" s="6" t="inlineStr">
        <is>
          <t>版本一(不計租借收入)</t>
        </is>
      </c>
      <c r="C15" s="6" t="inlineStr">
        <is>
          <t>版本二(含租借收入)</t>
        </is>
      </c>
      <c r="D15" s="3" t="n"/>
      <c r="E15" s="3" t="n"/>
      <c r="F15" s="3" t="n"/>
      <c r="G15" s="3" t="n"/>
    </row>
    <row r="16">
      <c r="A16" t="inlineStr">
        <is>
          <t>總收入(原始團費)</t>
        </is>
      </c>
      <c r="B16" s="3">
        <f>SUM(D32:D92)</f>
        <v/>
      </c>
      <c r="C16" s="3">
        <f>SUM(D32:D92)</f>
        <v/>
      </c>
      <c r="D16" s="3" t="n"/>
      <c r="E16" s="3" t="n"/>
      <c r="F16" s="3" t="n"/>
      <c r="G16" s="3" t="n"/>
    </row>
    <row r="17">
      <c r="A17" t="inlineStr">
        <is>
          <t>租借收入(依租借欄位估算)</t>
        </is>
      </c>
      <c r="B17" s="3">
        <f>SUM(E32:E92)</f>
        <v/>
      </c>
      <c r="C17" s="3">
        <f>SUM(E32:E92)</f>
        <v/>
      </c>
      <c r="D17" s="3" t="n"/>
      <c r="E17" s="3" t="n"/>
      <c r="F17" s="3" t="n"/>
      <c r="G17" s="3" t="n"/>
    </row>
    <row r="18">
      <c r="A18" t="inlineStr">
        <is>
          <t>計入收入</t>
        </is>
      </c>
      <c r="B18" s="3">
        <f>B16-B17</f>
        <v/>
      </c>
      <c r="C18" s="3">
        <f>C16</f>
        <v/>
      </c>
      <c r="D18" s="3" t="n"/>
      <c r="E18" s="3" t="n"/>
      <c r="F18" s="3" t="n"/>
      <c r="G18" s="3" t="n"/>
    </row>
    <row r="19">
      <c r="A19" t="inlineStr">
        <is>
          <t>刷卡後收入(×係數)</t>
        </is>
      </c>
      <c r="B19" s="3">
        <f>B18*設定!$B$3</f>
        <v/>
      </c>
      <c r="C19" s="3">
        <f>C18*設定!$B$3</f>
        <v/>
      </c>
      <c r="D19" s="3" t="n"/>
      <c r="E19" s="3" t="n"/>
      <c r="F19" s="3" t="n"/>
      <c r="G19" s="3" t="n"/>
    </row>
    <row r="20">
      <c r="A20" t="inlineStr">
        <is>
          <t>總成本</t>
        </is>
      </c>
      <c r="B20" s="3">
        <f>$E$13</f>
        <v/>
      </c>
      <c r="C20" s="3">
        <f>$E$13</f>
        <v/>
      </c>
      <c r="D20" s="3" t="n"/>
      <c r="E20" s="3" t="n"/>
      <c r="F20" s="3" t="n"/>
      <c r="G20" s="3" t="n"/>
    </row>
    <row r="21">
      <c r="A21" t="inlineStr">
        <is>
          <t>稅 (計入收入−總成本)×稅率</t>
        </is>
      </c>
      <c r="B21" s="3">
        <f>(B18-B20)*設定!$B$4</f>
        <v/>
      </c>
      <c r="C21" s="3">
        <f>(C18-C20)*設定!$B$4</f>
        <v/>
      </c>
      <c r="D21" s="3" t="n"/>
      <c r="E21" s="3" t="n"/>
      <c r="F21" s="3" t="n"/>
      <c r="G21" s="3" t="n"/>
    </row>
    <row r="22">
      <c r="A22" s="7" t="inlineStr">
        <is>
          <t>最後結果</t>
        </is>
      </c>
      <c r="B22" s="8">
        <f>B19-B20-B21</f>
        <v/>
      </c>
      <c r="C22" s="8">
        <f>C19-C20-C21</f>
        <v/>
      </c>
      <c r="D22" s="3" t="n"/>
      <c r="E22" s="3" t="n"/>
      <c r="F22" s="3" t="n"/>
      <c r="G22" s="3" t="n"/>
    </row>
    <row r="23">
      <c r="A23" t="inlineStr">
        <is>
          <t>每人 計入收入</t>
        </is>
      </c>
      <c r="B23" s="3">
        <f>IF($B$2=0,0,B18/$B$2)</f>
        <v/>
      </c>
      <c r="C23" s="3">
        <f>IF($B$2=0,0,C18/$B$2)</f>
        <v/>
      </c>
      <c r="D23" s="3" t="n"/>
      <c r="E23" s="3" t="n"/>
      <c r="F23" s="3" t="n"/>
      <c r="G23" s="3" t="n"/>
    </row>
    <row r="24">
      <c r="A24" t="inlineStr">
        <is>
          <t>每人 總成本</t>
        </is>
      </c>
      <c r="B24" s="3">
        <f>IF($B$2=0,0,B20/$B$2)</f>
        <v/>
      </c>
      <c r="C24" s="3">
        <f>IF($B$2=0,0,C20/$B$2)</f>
        <v/>
      </c>
      <c r="D24" s="3" t="n"/>
      <c r="E24" s="3" t="n"/>
      <c r="F24" s="3" t="n"/>
      <c r="G24" s="3" t="n"/>
    </row>
    <row r="25">
      <c r="A25" t="inlineStr">
        <is>
          <t>每人 結果</t>
        </is>
      </c>
      <c r="B25" s="3">
        <f>IF($B$2=0,0,B22/$B$2)</f>
        <v/>
      </c>
      <c r="C25" s="3">
        <f>IF($B$2=0,0,C22/$B$2)</f>
        <v/>
      </c>
      <c r="D25" s="3" t="n"/>
      <c r="E25" s="3" t="n"/>
      <c r="F25" s="3" t="n"/>
      <c r="G25" s="3" t="n"/>
    </row>
    <row r="26">
      <c r="B26" s="3" t="n"/>
      <c r="C26" s="3" t="n"/>
      <c r="D26" s="3" t="n"/>
      <c r="E26" s="3" t="n"/>
      <c r="F26" s="3" t="n"/>
      <c r="G26" s="3" t="n"/>
    </row>
    <row r="30">
      <c r="A30" s="4" t="inlineStr">
        <is>
          <t>團別明細(數量來自原始資料;成本用上方單價計算)</t>
        </is>
      </c>
    </row>
    <row r="31">
      <c r="A31" s="2" t="inlineStr">
        <is>
          <t>團號</t>
        </is>
      </c>
      <c r="B31" s="2" t="inlineStr">
        <is>
          <t>出發日</t>
        </is>
      </c>
      <c r="C31" s="2" t="inlineStr">
        <is>
          <t>人數</t>
        </is>
      </c>
      <c r="D31" s="2" t="inlineStr">
        <is>
          <t>總收入</t>
        </is>
      </c>
      <c r="E31" s="2" t="inlineStr">
        <is>
          <t>租借收入(估)</t>
        </is>
      </c>
      <c r="F31" s="2" t="inlineStr">
        <is>
          <t>斑尾住宿(1泊)</t>
        </is>
      </c>
      <c r="G31" s="2" t="inlineStr">
        <is>
          <t>東京住宿(1泊)</t>
        </is>
      </c>
      <c r="H31" s="2" t="inlineStr">
        <is>
          <t>交通 機場&gt;雪場</t>
        </is>
      </c>
      <c r="I31" s="2" t="inlineStr">
        <is>
          <t>交通 雪場&gt;市區</t>
        </is>
      </c>
      <c r="J31" s="2" t="inlineStr">
        <is>
          <t>雪票(1日)</t>
        </is>
      </c>
      <c r="K31" s="2" t="inlineStr">
        <is>
          <t>三點set</t>
        </is>
      </c>
      <c r="L31" s="2" t="inlineStr">
        <is>
          <t>下山接駁</t>
        </is>
      </c>
      <c r="M31" s="2" t="inlineStr">
        <is>
          <t>保險</t>
        </is>
      </c>
      <c r="N31" s="2" t="inlineStr">
        <is>
          <t>日幣成本</t>
        </is>
      </c>
      <c r="O31" s="2" t="inlineStr">
        <is>
          <t>台幣成本</t>
        </is>
      </c>
      <c r="P31" s="2" t="inlineStr">
        <is>
          <t>版本一結果</t>
        </is>
      </c>
      <c r="Q31" s="2" t="inlineStr">
        <is>
          <t>版本二結果</t>
        </is>
      </c>
      <c r="R31" s="2" t="inlineStr">
        <is>
          <t>每人 版本一</t>
        </is>
      </c>
      <c r="S31" s="2" t="inlineStr">
        <is>
          <t>每人 版本二</t>
        </is>
      </c>
    </row>
    <row r="32">
      <c r="A32" t="inlineStr">
        <is>
          <t>S4-J-B0270118A</t>
        </is>
      </c>
      <c r="B32" t="inlineStr">
        <is>
          <t>2027/01/18</t>
        </is>
      </c>
      <c r="C32" t="n">
        <v>2</v>
      </c>
      <c r="D32" s="3" t="n">
        <v>107800</v>
      </c>
      <c r="E32" s="3" t="n">
        <v>3000</v>
      </c>
      <c r="F32" s="3" t="n">
        <v>8</v>
      </c>
      <c r="G32" s="3" t="n">
        <v>0</v>
      </c>
      <c r="H32" s="3" t="n">
        <v>2</v>
      </c>
      <c r="I32" s="3" t="n">
        <v>2</v>
      </c>
      <c r="J32" s="3" t="n">
        <v>6</v>
      </c>
      <c r="K32" s="3" t="n">
        <v>6</v>
      </c>
      <c r="L32" s="3" t="n">
        <v>2</v>
      </c>
      <c r="M32" s="3" t="n">
        <v>2</v>
      </c>
      <c r="N32" s="3">
        <f>F32*$B$5+G32*$B$6+H32*$B$7+I32*$B$8+J32*$B$9+K32*$B$10+L32*$B$11+M32*$B$12</f>
        <v/>
      </c>
      <c r="O32" s="3">
        <f>N32*設定!$B$2</f>
        <v/>
      </c>
      <c r="P32" s="3">
        <f>(D32-E32)*設定!$B$3-O32-((D32-E32)-O32)*設定!$B$4</f>
        <v/>
      </c>
      <c r="Q32" s="3">
        <f>D32*設定!$B$3-O32-(D32-O32)*設定!$B$4</f>
        <v/>
      </c>
      <c r="R32" s="3">
        <f>P32/C32</f>
        <v/>
      </c>
      <c r="S32" s="3">
        <f>Q32/C32</f>
        <v/>
      </c>
    </row>
    <row r="33">
      <c r="A33" t="inlineStr">
        <is>
          <t>S4-J-B0270212A</t>
        </is>
      </c>
      <c r="B33" t="inlineStr">
        <is>
          <t>2027/02/12</t>
        </is>
      </c>
      <c r="C33" t="n">
        <v>2</v>
      </c>
      <c r="D33" s="3" t="n">
        <v>87800</v>
      </c>
      <c r="E33" s="3" t="n">
        <v>0</v>
      </c>
      <c r="F33" s="3" t="n">
        <v>6</v>
      </c>
      <c r="G33" s="3" t="n">
        <v>0</v>
      </c>
      <c r="H33" s="3" t="n">
        <v>2</v>
      </c>
      <c r="I33" s="3" t="n">
        <v>2</v>
      </c>
      <c r="J33" s="3" t="n">
        <v>4</v>
      </c>
      <c r="K33" s="3" t="n">
        <v>4</v>
      </c>
      <c r="L33" s="3" t="n">
        <v>2</v>
      </c>
      <c r="M33" s="3" t="n">
        <v>2</v>
      </c>
      <c r="N33" s="3">
        <f>F33*$B$5+G33*$B$6+H33*$B$7+I33*$B$8+J33*$B$9+K33*$B$10+L33*$B$11+M33*$B$12</f>
        <v/>
      </c>
      <c r="O33" s="3">
        <f>N33*設定!$B$2</f>
        <v/>
      </c>
      <c r="P33" s="3">
        <f>(D33-E33)*設定!$B$3-O33-((D33-E33)-O33)*設定!$B$4</f>
        <v/>
      </c>
      <c r="Q33" s="3">
        <f>D33*設定!$B$3-O33-(D33-O33)*設定!$B$4</f>
        <v/>
      </c>
      <c r="R33" s="3">
        <f>P33/C33</f>
        <v/>
      </c>
      <c r="S33" s="3">
        <f>Q33/C33</f>
        <v/>
      </c>
    </row>
    <row r="34">
      <c r="A34" t="inlineStr">
        <is>
          <t>S4-J-BT0261218A</t>
        </is>
      </c>
      <c r="B34" t="inlineStr">
        <is>
          <t>2026/12/18</t>
        </is>
      </c>
      <c r="C34" t="n">
        <v>1</v>
      </c>
      <c r="D34" s="3" t="n">
        <v>65100</v>
      </c>
      <c r="E34" s="3" t="n">
        <v>3200</v>
      </c>
      <c r="F34" s="3" t="n">
        <v>3</v>
      </c>
      <c r="G34" s="3" t="n">
        <v>1</v>
      </c>
      <c r="H34" s="3" t="n">
        <v>1</v>
      </c>
      <c r="I34" s="3" t="n">
        <v>1</v>
      </c>
      <c r="J34" s="3" t="n">
        <v>2</v>
      </c>
      <c r="K34" s="3" t="n">
        <v>2</v>
      </c>
      <c r="L34" s="3" t="n">
        <v>1</v>
      </c>
      <c r="M34" s="3" t="n">
        <v>1</v>
      </c>
      <c r="N34" s="3">
        <f>F34*$B$5+G34*$B$6+H34*$B$7+I34*$B$8+J34*$B$9+K34*$B$10+L34*$B$11+M34*$B$12</f>
        <v/>
      </c>
      <c r="O34" s="3">
        <f>N34*設定!$B$2</f>
        <v/>
      </c>
      <c r="P34" s="3">
        <f>(D34-E34)*設定!$B$3-O34-((D34-E34)-O34)*設定!$B$4</f>
        <v/>
      </c>
      <c r="Q34" s="3">
        <f>D34*設定!$B$3-O34-(D34-O34)*設定!$B$4</f>
        <v/>
      </c>
      <c r="R34" s="3">
        <f>P34/C34</f>
        <v/>
      </c>
      <c r="S34" s="3">
        <f>Q34/C34</f>
        <v/>
      </c>
    </row>
    <row r="35">
      <c r="A35" t="inlineStr">
        <is>
          <t>S4-J-BT0261219A</t>
        </is>
      </c>
      <c r="B35" t="inlineStr">
        <is>
          <t>2026/12/19</t>
        </is>
      </c>
      <c r="C35" t="n">
        <v>9</v>
      </c>
      <c r="D35" s="3" t="n">
        <v>407700</v>
      </c>
      <c r="E35" s="3" t="n">
        <v>17600</v>
      </c>
      <c r="F35" s="3" t="n">
        <v>27</v>
      </c>
      <c r="G35" s="3" t="n">
        <v>9</v>
      </c>
      <c r="H35" s="3" t="n">
        <v>9</v>
      </c>
      <c r="I35" s="3" t="n">
        <v>9</v>
      </c>
      <c r="J35" s="3" t="n">
        <v>18</v>
      </c>
      <c r="K35" s="3" t="n">
        <v>18</v>
      </c>
      <c r="L35" s="3" t="n">
        <v>9</v>
      </c>
      <c r="M35" s="3" t="n">
        <v>9</v>
      </c>
      <c r="N35" s="3">
        <f>F35*$B$5+G35*$B$6+H35*$B$7+I35*$B$8+J35*$B$9+K35*$B$10+L35*$B$11+M35*$B$12</f>
        <v/>
      </c>
      <c r="O35" s="3">
        <f>N35*設定!$B$2</f>
        <v/>
      </c>
      <c r="P35" s="3">
        <f>(D35-E35)*設定!$B$3-O35-((D35-E35)-O35)*設定!$B$4</f>
        <v/>
      </c>
      <c r="Q35" s="3">
        <f>D35*設定!$B$3-O35-(D35-O35)*設定!$B$4</f>
        <v/>
      </c>
      <c r="R35" s="3">
        <f>P35/C35</f>
        <v/>
      </c>
      <c r="S35" s="3">
        <f>Q35/C35</f>
        <v/>
      </c>
    </row>
    <row r="36">
      <c r="A36" t="inlineStr">
        <is>
          <t>S4-J-BT0261220A</t>
        </is>
      </c>
      <c r="B36" t="inlineStr">
        <is>
          <t>2026/12/20</t>
        </is>
      </c>
      <c r="C36" t="n">
        <v>7</v>
      </c>
      <c r="D36" s="3" t="n">
        <v>338300</v>
      </c>
      <c r="E36" s="3" t="n">
        <v>0</v>
      </c>
      <c r="F36" s="3" t="n">
        <v>23</v>
      </c>
      <c r="G36" s="3" t="n">
        <v>9</v>
      </c>
      <c r="H36" s="3" t="n">
        <v>7</v>
      </c>
      <c r="I36" s="3" t="n">
        <v>7</v>
      </c>
      <c r="J36" s="3" t="n">
        <v>16</v>
      </c>
      <c r="K36" s="3" t="n">
        <v>16</v>
      </c>
      <c r="L36" s="3" t="n">
        <v>7</v>
      </c>
      <c r="M36" s="3" t="n">
        <v>7</v>
      </c>
      <c r="N36" s="3">
        <f>F36*$B$5+G36*$B$6+H36*$B$7+I36*$B$8+J36*$B$9+K36*$B$10+L36*$B$11+M36*$B$12</f>
        <v/>
      </c>
      <c r="O36" s="3">
        <f>N36*設定!$B$2</f>
        <v/>
      </c>
      <c r="P36" s="3">
        <f>(D36-E36)*設定!$B$3-O36-((D36-E36)-O36)*設定!$B$4</f>
        <v/>
      </c>
      <c r="Q36" s="3">
        <f>D36*設定!$B$3-O36-(D36-O36)*設定!$B$4</f>
        <v/>
      </c>
      <c r="R36" s="3">
        <f>P36/C36</f>
        <v/>
      </c>
      <c r="S36" s="3">
        <f>Q36/C36</f>
        <v/>
      </c>
    </row>
    <row r="37">
      <c r="A37" t="inlineStr">
        <is>
          <t>S4-J-BT0261221A</t>
        </is>
      </c>
      <c r="B37" t="inlineStr">
        <is>
          <t>2026/12/21</t>
        </is>
      </c>
      <c r="C37" t="n">
        <v>3</v>
      </c>
      <c r="D37" s="3" t="n">
        <v>176600</v>
      </c>
      <c r="E37" s="3" t="n">
        <v>9400</v>
      </c>
      <c r="F37" s="3" t="n">
        <v>10</v>
      </c>
      <c r="G37" s="3" t="n">
        <v>3</v>
      </c>
      <c r="H37" s="3" t="n">
        <v>3</v>
      </c>
      <c r="I37" s="3" t="n">
        <v>3</v>
      </c>
      <c r="J37" s="3" t="n">
        <v>7</v>
      </c>
      <c r="K37" s="3" t="n">
        <v>7</v>
      </c>
      <c r="L37" s="3" t="n">
        <v>3</v>
      </c>
      <c r="M37" s="3" t="n">
        <v>3</v>
      </c>
      <c r="N37" s="3">
        <f>F37*$B$5+G37*$B$6+H37*$B$7+I37*$B$8+J37*$B$9+K37*$B$10+L37*$B$11+M37*$B$12</f>
        <v/>
      </c>
      <c r="O37" s="3">
        <f>N37*設定!$B$2</f>
        <v/>
      </c>
      <c r="P37" s="3">
        <f>(D37-E37)*設定!$B$3-O37-((D37-E37)-O37)*設定!$B$4</f>
        <v/>
      </c>
      <c r="Q37" s="3">
        <f>D37*設定!$B$3-O37-(D37-O37)*設定!$B$4</f>
        <v/>
      </c>
      <c r="R37" s="3">
        <f>P37/C37</f>
        <v/>
      </c>
      <c r="S37" s="3">
        <f>Q37/C37</f>
        <v/>
      </c>
    </row>
    <row r="38">
      <c r="A38" t="inlineStr">
        <is>
          <t>S4-J-BT0261222A</t>
        </is>
      </c>
      <c r="B38" t="inlineStr">
        <is>
          <t>2026/12/22</t>
        </is>
      </c>
      <c r="C38" t="n">
        <v>9</v>
      </c>
      <c r="D38" s="3" t="n">
        <v>476700</v>
      </c>
      <c r="E38" s="3" t="n">
        <v>5600</v>
      </c>
      <c r="F38" s="3" t="n">
        <v>34</v>
      </c>
      <c r="G38" s="3" t="n">
        <v>9</v>
      </c>
      <c r="H38" s="3" t="n">
        <v>9</v>
      </c>
      <c r="I38" s="3" t="n">
        <v>9</v>
      </c>
      <c r="J38" s="3" t="n">
        <v>25</v>
      </c>
      <c r="K38" s="3" t="n">
        <v>25</v>
      </c>
      <c r="L38" s="3" t="n">
        <v>9</v>
      </c>
      <c r="M38" s="3" t="n">
        <v>9</v>
      </c>
      <c r="N38" s="3">
        <f>F38*$B$5+G38*$B$6+H38*$B$7+I38*$B$8+J38*$B$9+K38*$B$10+L38*$B$11+M38*$B$12</f>
        <v/>
      </c>
      <c r="O38" s="3">
        <f>N38*設定!$B$2</f>
        <v/>
      </c>
      <c r="P38" s="3">
        <f>(D38-E38)*設定!$B$3-O38-((D38-E38)-O38)*設定!$B$4</f>
        <v/>
      </c>
      <c r="Q38" s="3">
        <f>D38*設定!$B$3-O38-(D38-O38)*設定!$B$4</f>
        <v/>
      </c>
      <c r="R38" s="3">
        <f>P38/C38</f>
        <v/>
      </c>
      <c r="S38" s="3">
        <f>Q38/C38</f>
        <v/>
      </c>
    </row>
    <row r="39">
      <c r="A39" t="inlineStr">
        <is>
          <t>S4-J-BT0261223A</t>
        </is>
      </c>
      <c r="B39" t="inlineStr">
        <is>
          <t>2026/12/23</t>
        </is>
      </c>
      <c r="C39" t="n">
        <v>5</v>
      </c>
      <c r="D39" s="3" t="n">
        <v>300100</v>
      </c>
      <c r="E39" s="3" t="n">
        <v>26000</v>
      </c>
      <c r="F39" s="3" t="n">
        <v>17</v>
      </c>
      <c r="G39" s="3" t="n">
        <v>5</v>
      </c>
      <c r="H39" s="3" t="n">
        <v>5</v>
      </c>
      <c r="I39" s="3" t="n">
        <v>5</v>
      </c>
      <c r="J39" s="3" t="n">
        <v>12</v>
      </c>
      <c r="K39" s="3" t="n">
        <v>12</v>
      </c>
      <c r="L39" s="3" t="n">
        <v>5</v>
      </c>
      <c r="M39" s="3" t="n">
        <v>5</v>
      </c>
      <c r="N39" s="3">
        <f>F39*$B$5+G39*$B$6+H39*$B$7+I39*$B$8+J39*$B$9+K39*$B$10+L39*$B$11+M39*$B$12</f>
        <v/>
      </c>
      <c r="O39" s="3">
        <f>N39*設定!$B$2</f>
        <v/>
      </c>
      <c r="P39" s="3">
        <f>(D39-E39)*設定!$B$3-O39-((D39-E39)-O39)*設定!$B$4</f>
        <v/>
      </c>
      <c r="Q39" s="3">
        <f>D39*設定!$B$3-O39-(D39-O39)*設定!$B$4</f>
        <v/>
      </c>
      <c r="R39" s="3">
        <f>P39/C39</f>
        <v/>
      </c>
      <c r="S39" s="3">
        <f>Q39/C39</f>
        <v/>
      </c>
    </row>
    <row r="40">
      <c r="A40" t="inlineStr">
        <is>
          <t>S4-J-BT0261224A</t>
        </is>
      </c>
      <c r="B40" t="inlineStr">
        <is>
          <t>2026/12/24</t>
        </is>
      </c>
      <c r="C40" t="n">
        <v>2</v>
      </c>
      <c r="D40" s="3" t="n">
        <v>97800</v>
      </c>
      <c r="E40" s="3" t="n">
        <v>4000</v>
      </c>
      <c r="F40" s="3" t="n">
        <v>6</v>
      </c>
      <c r="G40" s="3" t="n">
        <v>2</v>
      </c>
      <c r="H40" s="3" t="n">
        <v>2</v>
      </c>
      <c r="I40" s="3" t="n">
        <v>2</v>
      </c>
      <c r="J40" s="3" t="n">
        <v>4</v>
      </c>
      <c r="K40" s="3" t="n">
        <v>4</v>
      </c>
      <c r="L40" s="3" t="n">
        <v>2</v>
      </c>
      <c r="M40" s="3" t="n">
        <v>2</v>
      </c>
      <c r="N40" s="3">
        <f>F40*$B$5+G40*$B$6+H40*$B$7+I40*$B$8+J40*$B$9+K40*$B$10+L40*$B$11+M40*$B$12</f>
        <v/>
      </c>
      <c r="O40" s="3">
        <f>N40*設定!$B$2</f>
        <v/>
      </c>
      <c r="P40" s="3">
        <f>(D40-E40)*設定!$B$3-O40-((D40-E40)-O40)*設定!$B$4</f>
        <v/>
      </c>
      <c r="Q40" s="3">
        <f>D40*設定!$B$3-O40-(D40-O40)*設定!$B$4</f>
        <v/>
      </c>
      <c r="R40" s="3">
        <f>P40/C40</f>
        <v/>
      </c>
      <c r="S40" s="3">
        <f>Q40/C40</f>
        <v/>
      </c>
    </row>
    <row r="41">
      <c r="A41" t="inlineStr">
        <is>
          <t>S4-J-BT0261225A</t>
        </is>
      </c>
      <c r="B41" t="inlineStr">
        <is>
          <t>2026/12/25</t>
        </is>
      </c>
      <c r="C41" t="n">
        <v>2</v>
      </c>
      <c r="D41" s="3" t="n">
        <v>97800</v>
      </c>
      <c r="E41" s="3" t="n">
        <v>0</v>
      </c>
      <c r="F41" s="3" t="n">
        <v>6</v>
      </c>
      <c r="G41" s="3" t="n">
        <v>2</v>
      </c>
      <c r="H41" s="3" t="n">
        <v>2</v>
      </c>
      <c r="I41" s="3" t="n">
        <v>2</v>
      </c>
      <c r="J41" s="3" t="n">
        <v>4</v>
      </c>
      <c r="K41" s="3" t="n">
        <v>4</v>
      </c>
      <c r="L41" s="3" t="n">
        <v>2</v>
      </c>
      <c r="M41" s="3" t="n">
        <v>2</v>
      </c>
      <c r="N41" s="3">
        <f>F41*$B$5+G41*$B$6+H41*$B$7+I41*$B$8+J41*$B$9+K41*$B$10+L41*$B$11+M41*$B$12</f>
        <v/>
      </c>
      <c r="O41" s="3">
        <f>N41*設定!$B$2</f>
        <v/>
      </c>
      <c r="P41" s="3">
        <f>(D41-E41)*設定!$B$3-O41-((D41-E41)-O41)*設定!$B$4</f>
        <v/>
      </c>
      <c r="Q41" s="3">
        <f>D41*設定!$B$3-O41-(D41-O41)*設定!$B$4</f>
        <v/>
      </c>
      <c r="R41" s="3">
        <f>P41/C41</f>
        <v/>
      </c>
      <c r="S41" s="3">
        <f>Q41/C41</f>
        <v/>
      </c>
    </row>
    <row r="42">
      <c r="A42" t="inlineStr">
        <is>
          <t>S4-J-BT0270103A</t>
        </is>
      </c>
      <c r="B42" t="inlineStr">
        <is>
          <t>2027/01/03</t>
        </is>
      </c>
      <c r="C42" t="n">
        <v>5</v>
      </c>
      <c r="D42" s="3" t="n">
        <v>275500</v>
      </c>
      <c r="E42" s="3" t="n">
        <v>0</v>
      </c>
      <c r="F42" s="3" t="n">
        <v>18</v>
      </c>
      <c r="G42" s="3" t="n">
        <v>5</v>
      </c>
      <c r="H42" s="3" t="n">
        <v>5</v>
      </c>
      <c r="I42" s="3" t="n">
        <v>5</v>
      </c>
      <c r="J42" s="3" t="n">
        <v>13</v>
      </c>
      <c r="K42" s="3" t="n">
        <v>13</v>
      </c>
      <c r="L42" s="3" t="n">
        <v>5</v>
      </c>
      <c r="M42" s="3" t="n">
        <v>5</v>
      </c>
      <c r="N42" s="3">
        <f>F42*$B$5+G42*$B$6+H42*$B$7+I42*$B$8+J42*$B$9+K42*$B$10+L42*$B$11+M42*$B$12</f>
        <v/>
      </c>
      <c r="O42" s="3">
        <f>N42*設定!$B$2</f>
        <v/>
      </c>
      <c r="P42" s="3">
        <f>(D42-E42)*設定!$B$3-O42-((D42-E42)-O42)*設定!$B$4</f>
        <v/>
      </c>
      <c r="Q42" s="3">
        <f>D42*設定!$B$3-O42-(D42-O42)*設定!$B$4</f>
        <v/>
      </c>
      <c r="R42" s="3">
        <f>P42/C42</f>
        <v/>
      </c>
      <c r="S42" s="3">
        <f>Q42/C42</f>
        <v/>
      </c>
    </row>
    <row r="43">
      <c r="A43" t="inlineStr">
        <is>
          <t>S4-J-BT0270105A</t>
        </is>
      </c>
      <c r="B43" t="inlineStr">
        <is>
          <t>2027/01/05</t>
        </is>
      </c>
      <c r="C43" t="n">
        <v>5</v>
      </c>
      <c r="D43" s="3" t="n">
        <v>293900</v>
      </c>
      <c r="E43" s="3" t="n">
        <v>8400</v>
      </c>
      <c r="F43" s="3" t="n">
        <v>19</v>
      </c>
      <c r="G43" s="3" t="n">
        <v>5</v>
      </c>
      <c r="H43" s="3" t="n">
        <v>5</v>
      </c>
      <c r="I43" s="3" t="n">
        <v>5</v>
      </c>
      <c r="J43" s="3" t="n">
        <v>14</v>
      </c>
      <c r="K43" s="3" t="n">
        <v>14</v>
      </c>
      <c r="L43" s="3" t="n">
        <v>5</v>
      </c>
      <c r="M43" s="3" t="n">
        <v>5</v>
      </c>
      <c r="N43" s="3">
        <f>F43*$B$5+G43*$B$6+H43*$B$7+I43*$B$8+J43*$B$9+K43*$B$10+L43*$B$11+M43*$B$12</f>
        <v/>
      </c>
      <c r="O43" s="3">
        <f>N43*設定!$B$2</f>
        <v/>
      </c>
      <c r="P43" s="3">
        <f>(D43-E43)*設定!$B$3-O43-((D43-E43)-O43)*設定!$B$4</f>
        <v/>
      </c>
      <c r="Q43" s="3">
        <f>D43*設定!$B$3-O43-(D43-O43)*設定!$B$4</f>
        <v/>
      </c>
      <c r="R43" s="3">
        <f>P43/C43</f>
        <v/>
      </c>
      <c r="S43" s="3">
        <f>Q43/C43</f>
        <v/>
      </c>
    </row>
    <row r="44">
      <c r="A44" t="inlineStr">
        <is>
          <t>S4-J-BT0270106A</t>
        </is>
      </c>
      <c r="B44" t="inlineStr">
        <is>
          <t>2027/01/06</t>
        </is>
      </c>
      <c r="C44" t="n">
        <v>13</v>
      </c>
      <c r="D44" s="3" t="n">
        <v>646300</v>
      </c>
      <c r="E44" s="3" t="n">
        <v>41600</v>
      </c>
      <c r="F44" s="3" t="n">
        <v>39</v>
      </c>
      <c r="G44" s="3" t="n">
        <v>13</v>
      </c>
      <c r="H44" s="3" t="n">
        <v>13</v>
      </c>
      <c r="I44" s="3" t="n">
        <v>13</v>
      </c>
      <c r="J44" s="3" t="n">
        <v>26</v>
      </c>
      <c r="K44" s="3" t="n">
        <v>26</v>
      </c>
      <c r="L44" s="3" t="n">
        <v>13</v>
      </c>
      <c r="M44" s="3" t="n">
        <v>13</v>
      </c>
      <c r="N44" s="3">
        <f>F44*$B$5+G44*$B$6+H44*$B$7+I44*$B$8+J44*$B$9+K44*$B$10+L44*$B$11+M44*$B$12</f>
        <v/>
      </c>
      <c r="O44" s="3">
        <f>N44*設定!$B$2</f>
        <v/>
      </c>
      <c r="P44" s="3">
        <f>(D44-E44)*設定!$B$3-O44-((D44-E44)-O44)*設定!$B$4</f>
        <v/>
      </c>
      <c r="Q44" s="3">
        <f>D44*設定!$B$3-O44-(D44-O44)*設定!$B$4</f>
        <v/>
      </c>
      <c r="R44" s="3">
        <f>P44/C44</f>
        <v/>
      </c>
      <c r="S44" s="3">
        <f>Q44/C44</f>
        <v/>
      </c>
    </row>
    <row r="45">
      <c r="A45" t="inlineStr">
        <is>
          <t>S4-J-BT0270111A</t>
        </is>
      </c>
      <c r="B45" t="inlineStr">
        <is>
          <t>2027/01/11</t>
        </is>
      </c>
      <c r="C45" t="n">
        <v>11</v>
      </c>
      <c r="D45" s="3" t="n">
        <v>659000</v>
      </c>
      <c r="E45" s="3" t="n">
        <v>13600</v>
      </c>
      <c r="F45" s="3" t="n">
        <v>43</v>
      </c>
      <c r="G45" s="3" t="n">
        <v>11</v>
      </c>
      <c r="H45" s="3" t="n">
        <v>11</v>
      </c>
      <c r="I45" s="3" t="n">
        <v>11</v>
      </c>
      <c r="J45" s="3" t="n">
        <v>32</v>
      </c>
      <c r="K45" s="3" t="n">
        <v>32</v>
      </c>
      <c r="L45" s="3" t="n">
        <v>11</v>
      </c>
      <c r="M45" s="3" t="n">
        <v>11</v>
      </c>
      <c r="N45" s="3">
        <f>F45*$B$5+G45*$B$6+H45*$B$7+I45*$B$8+J45*$B$9+K45*$B$10+L45*$B$11+M45*$B$12</f>
        <v/>
      </c>
      <c r="O45" s="3">
        <f>N45*設定!$B$2</f>
        <v/>
      </c>
      <c r="P45" s="3">
        <f>(D45-E45)*設定!$B$3-O45-((D45-E45)-O45)*設定!$B$4</f>
        <v/>
      </c>
      <c r="Q45" s="3">
        <f>D45*設定!$B$3-O45-(D45-O45)*設定!$B$4</f>
        <v/>
      </c>
      <c r="R45" s="3">
        <f>P45/C45</f>
        <v/>
      </c>
      <c r="S45" s="3">
        <f>Q45/C45</f>
        <v/>
      </c>
    </row>
    <row r="46">
      <c r="A46" t="inlineStr">
        <is>
          <t>S4-J-BT0270112A</t>
        </is>
      </c>
      <c r="B46" t="inlineStr">
        <is>
          <t>2027/01/12</t>
        </is>
      </c>
      <c r="C46" t="n">
        <v>9</v>
      </c>
      <c r="D46" s="3" t="n">
        <v>440300</v>
      </c>
      <c r="E46" s="3" t="n">
        <v>23200</v>
      </c>
      <c r="F46" s="3" t="n">
        <v>27</v>
      </c>
      <c r="G46" s="3" t="n">
        <v>11</v>
      </c>
      <c r="H46" s="3" t="n">
        <v>9</v>
      </c>
      <c r="I46" s="3" t="n">
        <v>9</v>
      </c>
      <c r="J46" s="3" t="n">
        <v>18</v>
      </c>
      <c r="K46" s="3" t="n">
        <v>18</v>
      </c>
      <c r="L46" s="3" t="n">
        <v>9</v>
      </c>
      <c r="M46" s="3" t="n">
        <v>9</v>
      </c>
      <c r="N46" s="3">
        <f>F46*$B$5+G46*$B$6+H46*$B$7+I46*$B$8+J46*$B$9+K46*$B$10+L46*$B$11+M46*$B$12</f>
        <v/>
      </c>
      <c r="O46" s="3">
        <f>N46*設定!$B$2</f>
        <v/>
      </c>
      <c r="P46" s="3">
        <f>(D46-E46)*設定!$B$3-O46-((D46-E46)-O46)*設定!$B$4</f>
        <v/>
      </c>
      <c r="Q46" s="3">
        <f>D46*設定!$B$3-O46-(D46-O46)*設定!$B$4</f>
        <v/>
      </c>
      <c r="R46" s="3">
        <f>P46/C46</f>
        <v/>
      </c>
      <c r="S46" s="3">
        <f>Q46/C46</f>
        <v/>
      </c>
    </row>
    <row r="47">
      <c r="A47" t="inlineStr">
        <is>
          <t>S4-J-BT0270113A</t>
        </is>
      </c>
      <c r="B47" t="inlineStr">
        <is>
          <t>2027/01/13</t>
        </is>
      </c>
      <c r="C47" t="n">
        <v>19</v>
      </c>
      <c r="D47" s="3" t="n">
        <v>959568</v>
      </c>
      <c r="E47" s="3" t="n">
        <v>39400</v>
      </c>
      <c r="F47" s="3" t="n">
        <v>65</v>
      </c>
      <c r="G47" s="3" t="n">
        <v>21</v>
      </c>
      <c r="H47" s="3" t="n">
        <v>19</v>
      </c>
      <c r="I47" s="3" t="n">
        <v>19</v>
      </c>
      <c r="J47" s="3" t="n">
        <v>46</v>
      </c>
      <c r="K47" s="3" t="n">
        <v>46</v>
      </c>
      <c r="L47" s="3" t="n">
        <v>19</v>
      </c>
      <c r="M47" s="3" t="n">
        <v>19</v>
      </c>
      <c r="N47" s="3">
        <f>F47*$B$5+G47*$B$6+H47*$B$7+I47*$B$8+J47*$B$9+K47*$B$10+L47*$B$11+M47*$B$12</f>
        <v/>
      </c>
      <c r="O47" s="3">
        <f>N47*設定!$B$2</f>
        <v/>
      </c>
      <c r="P47" s="3">
        <f>(D47-E47)*設定!$B$3-O47-((D47-E47)-O47)*設定!$B$4</f>
        <v/>
      </c>
      <c r="Q47" s="3">
        <f>D47*設定!$B$3-O47-(D47-O47)*設定!$B$4</f>
        <v/>
      </c>
      <c r="R47" s="3">
        <f>P47/C47</f>
        <v/>
      </c>
      <c r="S47" s="3">
        <f>Q47/C47</f>
        <v/>
      </c>
    </row>
    <row r="48">
      <c r="A48" t="inlineStr">
        <is>
          <t>S4-J-BT0270114A</t>
        </is>
      </c>
      <c r="B48" t="inlineStr">
        <is>
          <t>2027/01/14</t>
        </is>
      </c>
      <c r="C48" t="n">
        <v>11</v>
      </c>
      <c r="D48" s="3" t="n">
        <v>607100</v>
      </c>
      <c r="E48" s="3" t="n">
        <v>23200</v>
      </c>
      <c r="F48" s="3" t="n">
        <v>43</v>
      </c>
      <c r="G48" s="3" t="n">
        <v>11</v>
      </c>
      <c r="H48" s="3" t="n">
        <v>11</v>
      </c>
      <c r="I48" s="3" t="n">
        <v>11</v>
      </c>
      <c r="J48" s="3" t="n">
        <v>32</v>
      </c>
      <c r="K48" s="3" t="n">
        <v>32</v>
      </c>
      <c r="L48" s="3" t="n">
        <v>11</v>
      </c>
      <c r="M48" s="3" t="n">
        <v>11</v>
      </c>
      <c r="N48" s="3">
        <f>F48*$B$5+G48*$B$6+H48*$B$7+I48*$B$8+J48*$B$9+K48*$B$10+L48*$B$11+M48*$B$12</f>
        <v/>
      </c>
      <c r="O48" s="3">
        <f>N48*設定!$B$2</f>
        <v/>
      </c>
      <c r="P48" s="3">
        <f>(D48-E48)*設定!$B$3-O48-((D48-E48)-O48)*設定!$B$4</f>
        <v/>
      </c>
      <c r="Q48" s="3">
        <f>D48*設定!$B$3-O48-(D48-O48)*設定!$B$4</f>
        <v/>
      </c>
      <c r="R48" s="3">
        <f>P48/C48</f>
        <v/>
      </c>
      <c r="S48" s="3">
        <f>Q48/C48</f>
        <v/>
      </c>
    </row>
    <row r="49">
      <c r="A49" t="inlineStr">
        <is>
          <t>S4-J-BT0270115A</t>
        </is>
      </c>
      <c r="B49" t="inlineStr">
        <is>
          <t>2027/01/15</t>
        </is>
      </c>
      <c r="C49" t="n">
        <v>7</v>
      </c>
      <c r="D49" s="3" t="n">
        <v>358300</v>
      </c>
      <c r="E49" s="3" t="n">
        <v>22000</v>
      </c>
      <c r="F49" s="3" t="n">
        <v>23</v>
      </c>
      <c r="G49" s="3" t="n">
        <v>7</v>
      </c>
      <c r="H49" s="3" t="n">
        <v>7</v>
      </c>
      <c r="I49" s="3" t="n">
        <v>7</v>
      </c>
      <c r="J49" s="3" t="n">
        <v>16</v>
      </c>
      <c r="K49" s="3" t="n">
        <v>16</v>
      </c>
      <c r="L49" s="3" t="n">
        <v>7</v>
      </c>
      <c r="M49" s="3" t="n">
        <v>7</v>
      </c>
      <c r="N49" s="3">
        <f>F49*$B$5+G49*$B$6+H49*$B$7+I49*$B$8+J49*$B$9+K49*$B$10+L49*$B$11+M49*$B$12</f>
        <v/>
      </c>
      <c r="O49" s="3">
        <f>N49*設定!$B$2</f>
        <v/>
      </c>
      <c r="P49" s="3">
        <f>(D49-E49)*設定!$B$3-O49-((D49-E49)-O49)*設定!$B$4</f>
        <v/>
      </c>
      <c r="Q49" s="3">
        <f>D49*設定!$B$3-O49-(D49-O49)*設定!$B$4</f>
        <v/>
      </c>
      <c r="R49" s="3">
        <f>P49/C49</f>
        <v/>
      </c>
      <c r="S49" s="3">
        <f>Q49/C49</f>
        <v/>
      </c>
    </row>
    <row r="50">
      <c r="A50" t="inlineStr">
        <is>
          <t>S4-J-BT0270116A</t>
        </is>
      </c>
      <c r="B50" t="inlineStr">
        <is>
          <t>2027/01/16</t>
        </is>
      </c>
      <c r="C50" t="n">
        <v>11</v>
      </c>
      <c r="D50" s="3" t="n">
        <v>595900</v>
      </c>
      <c r="E50" s="3" t="n">
        <v>28000</v>
      </c>
      <c r="F50" s="3" t="n">
        <v>37</v>
      </c>
      <c r="G50" s="3" t="n">
        <v>19</v>
      </c>
      <c r="H50" s="3" t="n">
        <v>11</v>
      </c>
      <c r="I50" s="3" t="n">
        <v>11</v>
      </c>
      <c r="J50" s="3" t="n">
        <v>26</v>
      </c>
      <c r="K50" s="3" t="n">
        <v>26</v>
      </c>
      <c r="L50" s="3" t="n">
        <v>11</v>
      </c>
      <c r="M50" s="3" t="n">
        <v>11</v>
      </c>
      <c r="N50" s="3">
        <f>F50*$B$5+G50*$B$6+H50*$B$7+I50*$B$8+J50*$B$9+K50*$B$10+L50*$B$11+M50*$B$12</f>
        <v/>
      </c>
      <c r="O50" s="3">
        <f>N50*設定!$B$2</f>
        <v/>
      </c>
      <c r="P50" s="3">
        <f>(D50-E50)*設定!$B$3-O50-((D50-E50)-O50)*設定!$B$4</f>
        <v/>
      </c>
      <c r="Q50" s="3">
        <f>D50*設定!$B$3-O50-(D50-O50)*設定!$B$4</f>
        <v/>
      </c>
      <c r="R50" s="3">
        <f>P50/C50</f>
        <v/>
      </c>
      <c r="S50" s="3">
        <f>Q50/C50</f>
        <v/>
      </c>
    </row>
    <row r="51">
      <c r="A51" t="inlineStr">
        <is>
          <t>S4-J-BT0270117A</t>
        </is>
      </c>
      <c r="B51" t="inlineStr">
        <is>
          <t>2027/01/17</t>
        </is>
      </c>
      <c r="C51" t="n">
        <v>11</v>
      </c>
      <c r="D51" s="3" t="n">
        <v>576500</v>
      </c>
      <c r="E51" s="3" t="n">
        <v>31600</v>
      </c>
      <c r="F51" s="3" t="n">
        <v>35</v>
      </c>
      <c r="G51" s="3" t="n">
        <v>11</v>
      </c>
      <c r="H51" s="3" t="n">
        <v>11</v>
      </c>
      <c r="I51" s="3" t="n">
        <v>11</v>
      </c>
      <c r="J51" s="3" t="n">
        <v>24</v>
      </c>
      <c r="K51" s="3" t="n">
        <v>24</v>
      </c>
      <c r="L51" s="3" t="n">
        <v>11</v>
      </c>
      <c r="M51" s="3" t="n">
        <v>11</v>
      </c>
      <c r="N51" s="3">
        <f>F51*$B$5+G51*$B$6+H51*$B$7+I51*$B$8+J51*$B$9+K51*$B$10+L51*$B$11+M51*$B$12</f>
        <v/>
      </c>
      <c r="O51" s="3">
        <f>N51*設定!$B$2</f>
        <v/>
      </c>
      <c r="P51" s="3">
        <f>(D51-E51)*設定!$B$3-O51-((D51-E51)-O51)*設定!$B$4</f>
        <v/>
      </c>
      <c r="Q51" s="3">
        <f>D51*設定!$B$3-O51-(D51-O51)*設定!$B$4</f>
        <v/>
      </c>
      <c r="R51" s="3">
        <f>P51/C51</f>
        <v/>
      </c>
      <c r="S51" s="3">
        <f>Q51/C51</f>
        <v/>
      </c>
    </row>
    <row r="52">
      <c r="A52" t="inlineStr">
        <is>
          <t>S4-J-BT0270118A</t>
        </is>
      </c>
      <c r="B52" t="inlineStr">
        <is>
          <t>2027/01/18</t>
        </is>
      </c>
      <c r="C52" t="n">
        <v>8</v>
      </c>
      <c r="D52" s="3" t="n">
        <v>408924</v>
      </c>
      <c r="E52" s="3" t="n">
        <v>6400</v>
      </c>
      <c r="F52" s="3" t="n">
        <v>26</v>
      </c>
      <c r="G52" s="3" t="n">
        <v>10</v>
      </c>
      <c r="H52" s="3" t="n">
        <v>8</v>
      </c>
      <c r="I52" s="3" t="n">
        <v>8</v>
      </c>
      <c r="J52" s="3" t="n">
        <v>18</v>
      </c>
      <c r="K52" s="3" t="n">
        <v>18</v>
      </c>
      <c r="L52" s="3" t="n">
        <v>8</v>
      </c>
      <c r="M52" s="3" t="n">
        <v>8</v>
      </c>
      <c r="N52" s="3">
        <f>F52*$B$5+G52*$B$6+H52*$B$7+I52*$B$8+J52*$B$9+K52*$B$10+L52*$B$11+M52*$B$12</f>
        <v/>
      </c>
      <c r="O52" s="3">
        <f>N52*設定!$B$2</f>
        <v/>
      </c>
      <c r="P52" s="3">
        <f>(D52-E52)*設定!$B$3-O52-((D52-E52)-O52)*設定!$B$4</f>
        <v/>
      </c>
      <c r="Q52" s="3">
        <f>D52*設定!$B$3-O52-(D52-O52)*設定!$B$4</f>
        <v/>
      </c>
      <c r="R52" s="3">
        <f>P52/C52</f>
        <v/>
      </c>
      <c r="S52" s="3">
        <f>Q52/C52</f>
        <v/>
      </c>
    </row>
    <row r="53">
      <c r="A53" t="inlineStr">
        <is>
          <t>S4-J-BT0270119A</t>
        </is>
      </c>
      <c r="B53" t="inlineStr">
        <is>
          <t>2027/01/19</t>
        </is>
      </c>
      <c r="C53" t="n">
        <v>4</v>
      </c>
      <c r="D53" s="3" t="n">
        <v>221600</v>
      </c>
      <c r="E53" s="3" t="n">
        <v>0</v>
      </c>
      <c r="F53" s="3" t="n">
        <v>16</v>
      </c>
      <c r="G53" s="3" t="n">
        <v>4</v>
      </c>
      <c r="H53" s="3" t="n">
        <v>4</v>
      </c>
      <c r="I53" s="3" t="n">
        <v>4</v>
      </c>
      <c r="J53" s="3" t="n">
        <v>12</v>
      </c>
      <c r="K53" s="3" t="n">
        <v>12</v>
      </c>
      <c r="L53" s="3" t="n">
        <v>4</v>
      </c>
      <c r="M53" s="3" t="n">
        <v>4</v>
      </c>
      <c r="N53" s="3">
        <f>F53*$B$5+G53*$B$6+H53*$B$7+I53*$B$8+J53*$B$9+K53*$B$10+L53*$B$11+M53*$B$12</f>
        <v/>
      </c>
      <c r="O53" s="3">
        <f>N53*設定!$B$2</f>
        <v/>
      </c>
      <c r="P53" s="3">
        <f>(D53-E53)*設定!$B$3-O53-((D53-E53)-O53)*設定!$B$4</f>
        <v/>
      </c>
      <c r="Q53" s="3">
        <f>D53*設定!$B$3-O53-(D53-O53)*設定!$B$4</f>
        <v/>
      </c>
      <c r="R53" s="3">
        <f>P53/C53</f>
        <v/>
      </c>
      <c r="S53" s="3">
        <f>Q53/C53</f>
        <v/>
      </c>
    </row>
    <row r="54">
      <c r="A54" t="inlineStr">
        <is>
          <t>S4-J-BT0270120A</t>
        </is>
      </c>
      <c r="B54" t="inlineStr">
        <is>
          <t>2027/01/20</t>
        </is>
      </c>
      <c r="C54" t="n">
        <v>13</v>
      </c>
      <c r="D54" s="3" t="n">
        <v>638400</v>
      </c>
      <c r="E54" s="3" t="n">
        <v>13200</v>
      </c>
      <c r="F54" s="3" t="n">
        <v>42</v>
      </c>
      <c r="G54" s="3" t="n">
        <v>13</v>
      </c>
      <c r="H54" s="3" t="n">
        <v>13</v>
      </c>
      <c r="I54" s="3" t="n">
        <v>13</v>
      </c>
      <c r="J54" s="3" t="n">
        <v>29</v>
      </c>
      <c r="K54" s="3" t="n">
        <v>29</v>
      </c>
      <c r="L54" s="3" t="n">
        <v>13</v>
      </c>
      <c r="M54" s="3" t="n">
        <v>13</v>
      </c>
      <c r="N54" s="3">
        <f>F54*$B$5+G54*$B$6+H54*$B$7+I54*$B$8+J54*$B$9+K54*$B$10+L54*$B$11+M54*$B$12</f>
        <v/>
      </c>
      <c r="O54" s="3">
        <f>N54*設定!$B$2</f>
        <v/>
      </c>
      <c r="P54" s="3">
        <f>(D54-E54)*設定!$B$3-O54-((D54-E54)-O54)*設定!$B$4</f>
        <v/>
      </c>
      <c r="Q54" s="3">
        <f>D54*設定!$B$3-O54-(D54-O54)*設定!$B$4</f>
        <v/>
      </c>
      <c r="R54" s="3">
        <f>P54/C54</f>
        <v/>
      </c>
      <c r="S54" s="3">
        <f>Q54/C54</f>
        <v/>
      </c>
    </row>
    <row r="55">
      <c r="A55" t="inlineStr">
        <is>
          <t>S4-J-BT0270121A</t>
        </is>
      </c>
      <c r="B55" t="inlineStr">
        <is>
          <t>2027/01/21</t>
        </is>
      </c>
      <c r="C55" t="n">
        <v>2</v>
      </c>
      <c r="D55" s="3" t="n">
        <v>128000</v>
      </c>
      <c r="E55" s="3" t="n">
        <v>6200</v>
      </c>
      <c r="F55" s="3" t="n">
        <v>8</v>
      </c>
      <c r="G55" s="3" t="n">
        <v>4</v>
      </c>
      <c r="H55" s="3" t="n">
        <v>2</v>
      </c>
      <c r="I55" s="3" t="n">
        <v>2</v>
      </c>
      <c r="J55" s="3" t="n">
        <v>6</v>
      </c>
      <c r="K55" s="3" t="n">
        <v>6</v>
      </c>
      <c r="L55" s="3" t="n">
        <v>2</v>
      </c>
      <c r="M55" s="3" t="n">
        <v>2</v>
      </c>
      <c r="N55" s="3">
        <f>F55*$B$5+G55*$B$6+H55*$B$7+I55*$B$8+J55*$B$9+K55*$B$10+L55*$B$11+M55*$B$12</f>
        <v/>
      </c>
      <c r="O55" s="3">
        <f>N55*設定!$B$2</f>
        <v/>
      </c>
      <c r="P55" s="3">
        <f>(D55-E55)*設定!$B$3-O55-((D55-E55)-O55)*設定!$B$4</f>
        <v/>
      </c>
      <c r="Q55" s="3">
        <f>D55*設定!$B$3-O55-(D55-O55)*設定!$B$4</f>
        <v/>
      </c>
      <c r="R55" s="3">
        <f>P55/C55</f>
        <v/>
      </c>
      <c r="S55" s="3">
        <f>Q55/C55</f>
        <v/>
      </c>
    </row>
    <row r="56">
      <c r="A56" t="inlineStr">
        <is>
          <t>S4-J-BT0270122A</t>
        </is>
      </c>
      <c r="B56" t="inlineStr">
        <is>
          <t>2027/01/22</t>
        </is>
      </c>
      <c r="C56" t="n">
        <v>7</v>
      </c>
      <c r="D56" s="3" t="n">
        <v>364900</v>
      </c>
      <c r="E56" s="3" t="n">
        <v>13600</v>
      </c>
      <c r="F56" s="3" t="n">
        <v>21</v>
      </c>
      <c r="G56" s="3" t="n">
        <v>11</v>
      </c>
      <c r="H56" s="3" t="n">
        <v>7</v>
      </c>
      <c r="I56" s="3" t="n">
        <v>7</v>
      </c>
      <c r="J56" s="3" t="n">
        <v>14</v>
      </c>
      <c r="K56" s="3" t="n">
        <v>14</v>
      </c>
      <c r="L56" s="3" t="n">
        <v>7</v>
      </c>
      <c r="M56" s="3" t="n">
        <v>7</v>
      </c>
      <c r="N56" s="3">
        <f>F56*$B$5+G56*$B$6+H56*$B$7+I56*$B$8+J56*$B$9+K56*$B$10+L56*$B$11+M56*$B$12</f>
        <v/>
      </c>
      <c r="O56" s="3">
        <f>N56*設定!$B$2</f>
        <v/>
      </c>
      <c r="P56" s="3">
        <f>(D56-E56)*設定!$B$3-O56-((D56-E56)-O56)*設定!$B$4</f>
        <v/>
      </c>
      <c r="Q56" s="3">
        <f>D56*設定!$B$3-O56-(D56-O56)*設定!$B$4</f>
        <v/>
      </c>
      <c r="R56" s="3">
        <f>P56/C56</f>
        <v/>
      </c>
      <c r="S56" s="3">
        <f>Q56/C56</f>
        <v/>
      </c>
    </row>
    <row r="57">
      <c r="A57" t="inlineStr">
        <is>
          <t>S4-J-BT0270124A</t>
        </is>
      </c>
      <c r="B57" t="inlineStr">
        <is>
          <t>2027/01/24</t>
        </is>
      </c>
      <c r="C57" t="n">
        <v>2</v>
      </c>
      <c r="D57" s="3" t="n">
        <v>95800</v>
      </c>
      <c r="E57" s="3" t="n">
        <v>0</v>
      </c>
      <c r="F57" s="3" t="n">
        <v>6</v>
      </c>
      <c r="G57" s="3" t="n">
        <v>2</v>
      </c>
      <c r="H57" s="3" t="n">
        <v>2</v>
      </c>
      <c r="I57" s="3" t="n">
        <v>2</v>
      </c>
      <c r="J57" s="3" t="n">
        <v>4</v>
      </c>
      <c r="K57" s="3" t="n">
        <v>4</v>
      </c>
      <c r="L57" s="3" t="n">
        <v>2</v>
      </c>
      <c r="M57" s="3" t="n">
        <v>2</v>
      </c>
      <c r="N57" s="3">
        <f>F57*$B$5+G57*$B$6+H57*$B$7+I57*$B$8+J57*$B$9+K57*$B$10+L57*$B$11+M57*$B$12</f>
        <v/>
      </c>
      <c r="O57" s="3">
        <f>N57*設定!$B$2</f>
        <v/>
      </c>
      <c r="P57" s="3">
        <f>(D57-E57)*設定!$B$3-O57-((D57-E57)-O57)*設定!$B$4</f>
        <v/>
      </c>
      <c r="Q57" s="3">
        <f>D57*設定!$B$3-O57-(D57-O57)*設定!$B$4</f>
        <v/>
      </c>
      <c r="R57" s="3">
        <f>P57/C57</f>
        <v/>
      </c>
      <c r="S57" s="3">
        <f>Q57/C57</f>
        <v/>
      </c>
    </row>
    <row r="58">
      <c r="A58" t="inlineStr">
        <is>
          <t>S4-J-BT0270125A</t>
        </is>
      </c>
      <c r="B58" t="inlineStr">
        <is>
          <t>2027/01/25</t>
        </is>
      </c>
      <c r="C58" t="n">
        <v>7</v>
      </c>
      <c r="D58" s="3" t="n">
        <v>402800</v>
      </c>
      <c r="E58" s="3" t="n">
        <v>0</v>
      </c>
      <c r="F58" s="3" t="n">
        <v>24</v>
      </c>
      <c r="G58" s="3" t="n">
        <v>13</v>
      </c>
      <c r="H58" s="3" t="n">
        <v>7</v>
      </c>
      <c r="I58" s="3" t="n">
        <v>7</v>
      </c>
      <c r="J58" s="3" t="n">
        <v>17</v>
      </c>
      <c r="K58" s="3" t="n">
        <v>17</v>
      </c>
      <c r="L58" s="3" t="n">
        <v>7</v>
      </c>
      <c r="M58" s="3" t="n">
        <v>7</v>
      </c>
      <c r="N58" s="3">
        <f>F58*$B$5+G58*$B$6+H58*$B$7+I58*$B$8+J58*$B$9+K58*$B$10+L58*$B$11+M58*$B$12</f>
        <v/>
      </c>
      <c r="O58" s="3">
        <f>N58*設定!$B$2</f>
        <v/>
      </c>
      <c r="P58" s="3">
        <f>(D58-E58)*設定!$B$3-O58-((D58-E58)-O58)*設定!$B$4</f>
        <v/>
      </c>
      <c r="Q58" s="3">
        <f>D58*設定!$B$3-O58-(D58-O58)*設定!$B$4</f>
        <v/>
      </c>
      <c r="R58" s="3">
        <f>P58/C58</f>
        <v/>
      </c>
      <c r="S58" s="3">
        <f>Q58/C58</f>
        <v/>
      </c>
    </row>
    <row r="59">
      <c r="A59" t="inlineStr">
        <is>
          <t>S4-J-BT0270126A</t>
        </is>
      </c>
      <c r="B59" t="inlineStr">
        <is>
          <t>2027/01/26</t>
        </is>
      </c>
      <c r="C59" t="n">
        <v>4</v>
      </c>
      <c r="D59" s="3" t="n">
        <v>191600</v>
      </c>
      <c r="E59" s="3" t="n">
        <v>0</v>
      </c>
      <c r="F59" s="3" t="n">
        <v>12</v>
      </c>
      <c r="G59" s="3" t="n">
        <v>4</v>
      </c>
      <c r="H59" s="3" t="n">
        <v>4</v>
      </c>
      <c r="I59" s="3" t="n">
        <v>4</v>
      </c>
      <c r="J59" s="3" t="n">
        <v>8</v>
      </c>
      <c r="K59" s="3" t="n">
        <v>8</v>
      </c>
      <c r="L59" s="3" t="n">
        <v>4</v>
      </c>
      <c r="M59" s="3" t="n">
        <v>4</v>
      </c>
      <c r="N59" s="3">
        <f>F59*$B$5+G59*$B$6+H59*$B$7+I59*$B$8+J59*$B$9+K59*$B$10+L59*$B$11+M59*$B$12</f>
        <v/>
      </c>
      <c r="O59" s="3">
        <f>N59*設定!$B$2</f>
        <v/>
      </c>
      <c r="P59" s="3">
        <f>(D59-E59)*設定!$B$3-O59-((D59-E59)-O59)*設定!$B$4</f>
        <v/>
      </c>
      <c r="Q59" s="3">
        <f>D59*設定!$B$3-O59-(D59-O59)*設定!$B$4</f>
        <v/>
      </c>
      <c r="R59" s="3">
        <f>P59/C59</f>
        <v/>
      </c>
      <c r="S59" s="3">
        <f>Q59/C59</f>
        <v/>
      </c>
    </row>
    <row r="60">
      <c r="A60" t="inlineStr">
        <is>
          <t>S4-J-BT0270127A</t>
        </is>
      </c>
      <c r="B60" t="inlineStr">
        <is>
          <t>2027/01/27</t>
        </is>
      </c>
      <c r="C60" t="n">
        <v>12</v>
      </c>
      <c r="D60" s="3" t="n">
        <v>635600</v>
      </c>
      <c r="E60" s="3" t="n">
        <v>8800</v>
      </c>
      <c r="F60" s="3" t="n">
        <v>40</v>
      </c>
      <c r="G60" s="3" t="n">
        <v>16</v>
      </c>
      <c r="H60" s="3" t="n">
        <v>12</v>
      </c>
      <c r="I60" s="3" t="n">
        <v>12</v>
      </c>
      <c r="J60" s="3" t="n">
        <v>28</v>
      </c>
      <c r="K60" s="3" t="n">
        <v>28</v>
      </c>
      <c r="L60" s="3" t="n">
        <v>12</v>
      </c>
      <c r="M60" s="3" t="n">
        <v>12</v>
      </c>
      <c r="N60" s="3">
        <f>F60*$B$5+G60*$B$6+H60*$B$7+I60*$B$8+J60*$B$9+K60*$B$10+L60*$B$11+M60*$B$12</f>
        <v/>
      </c>
      <c r="O60" s="3">
        <f>N60*設定!$B$2</f>
        <v/>
      </c>
      <c r="P60" s="3">
        <f>(D60-E60)*設定!$B$3-O60-((D60-E60)-O60)*設定!$B$4</f>
        <v/>
      </c>
      <c r="Q60" s="3">
        <f>D60*設定!$B$3-O60-(D60-O60)*設定!$B$4</f>
        <v/>
      </c>
      <c r="R60" s="3">
        <f>P60/C60</f>
        <v/>
      </c>
      <c r="S60" s="3">
        <f>Q60/C60</f>
        <v/>
      </c>
    </row>
    <row r="61">
      <c r="A61" t="inlineStr">
        <is>
          <t>S4-J-BT0270128A</t>
        </is>
      </c>
      <c r="B61" t="inlineStr">
        <is>
          <t>2027/01/28</t>
        </is>
      </c>
      <c r="C61" t="n">
        <v>3</v>
      </c>
      <c r="D61" s="3" t="n">
        <v>143700</v>
      </c>
      <c r="E61" s="3" t="n">
        <v>0</v>
      </c>
      <c r="F61" s="3" t="n">
        <v>9</v>
      </c>
      <c r="G61" s="3" t="n">
        <v>3</v>
      </c>
      <c r="H61" s="3" t="n">
        <v>3</v>
      </c>
      <c r="I61" s="3" t="n">
        <v>3</v>
      </c>
      <c r="J61" s="3" t="n">
        <v>6</v>
      </c>
      <c r="K61" s="3" t="n">
        <v>6</v>
      </c>
      <c r="L61" s="3" t="n">
        <v>3</v>
      </c>
      <c r="M61" s="3" t="n">
        <v>3</v>
      </c>
      <c r="N61" s="3">
        <f>F61*$B$5+G61*$B$6+H61*$B$7+I61*$B$8+J61*$B$9+K61*$B$10+L61*$B$11+M61*$B$12</f>
        <v/>
      </c>
      <c r="O61" s="3">
        <f>N61*設定!$B$2</f>
        <v/>
      </c>
      <c r="P61" s="3">
        <f>(D61-E61)*設定!$B$3-O61-((D61-E61)-O61)*設定!$B$4</f>
        <v/>
      </c>
      <c r="Q61" s="3">
        <f>D61*設定!$B$3-O61-(D61-O61)*設定!$B$4</f>
        <v/>
      </c>
      <c r="R61" s="3">
        <f>P61/C61</f>
        <v/>
      </c>
      <c r="S61" s="3">
        <f>Q61/C61</f>
        <v/>
      </c>
    </row>
    <row r="62">
      <c r="A62" t="inlineStr">
        <is>
          <t>S4-J-BT0270129A</t>
        </is>
      </c>
      <c r="B62" t="inlineStr">
        <is>
          <t>2027/01/29</t>
        </is>
      </c>
      <c r="C62" t="n">
        <v>2</v>
      </c>
      <c r="D62" s="3" t="n">
        <v>99400</v>
      </c>
      <c r="E62" s="3" t="n">
        <v>5600</v>
      </c>
      <c r="F62" s="3" t="n">
        <v>6</v>
      </c>
      <c r="G62" s="3" t="n">
        <v>2</v>
      </c>
      <c r="H62" s="3" t="n">
        <v>2</v>
      </c>
      <c r="I62" s="3" t="n">
        <v>2</v>
      </c>
      <c r="J62" s="3" t="n">
        <v>4</v>
      </c>
      <c r="K62" s="3" t="n">
        <v>4</v>
      </c>
      <c r="L62" s="3" t="n">
        <v>2</v>
      </c>
      <c r="M62" s="3" t="n">
        <v>2</v>
      </c>
      <c r="N62" s="3">
        <f>F62*$B$5+G62*$B$6+H62*$B$7+I62*$B$8+J62*$B$9+K62*$B$10+L62*$B$11+M62*$B$12</f>
        <v/>
      </c>
      <c r="O62" s="3">
        <f>N62*設定!$B$2</f>
        <v/>
      </c>
      <c r="P62" s="3">
        <f>(D62-E62)*設定!$B$3-O62-((D62-E62)-O62)*設定!$B$4</f>
        <v/>
      </c>
      <c r="Q62" s="3">
        <f>D62*設定!$B$3-O62-(D62-O62)*設定!$B$4</f>
        <v/>
      </c>
      <c r="R62" s="3">
        <f>P62/C62</f>
        <v/>
      </c>
      <c r="S62" s="3">
        <f>Q62/C62</f>
        <v/>
      </c>
    </row>
    <row r="63">
      <c r="A63" t="inlineStr">
        <is>
          <t>S4-J-BT0270131A</t>
        </is>
      </c>
      <c r="B63" t="inlineStr">
        <is>
          <t>2027/01/31</t>
        </is>
      </c>
      <c r="C63" t="n">
        <v>7</v>
      </c>
      <c r="D63" s="3" t="n">
        <v>335300</v>
      </c>
      <c r="E63" s="3" t="n">
        <v>0</v>
      </c>
      <c r="F63" s="3" t="n">
        <v>21</v>
      </c>
      <c r="G63" s="3" t="n">
        <v>7</v>
      </c>
      <c r="H63" s="3" t="n">
        <v>7</v>
      </c>
      <c r="I63" s="3" t="n">
        <v>7</v>
      </c>
      <c r="J63" s="3" t="n">
        <v>14</v>
      </c>
      <c r="K63" s="3" t="n">
        <v>14</v>
      </c>
      <c r="L63" s="3" t="n">
        <v>7</v>
      </c>
      <c r="M63" s="3" t="n">
        <v>7</v>
      </c>
      <c r="N63" s="3">
        <f>F63*$B$5+G63*$B$6+H63*$B$7+I63*$B$8+J63*$B$9+K63*$B$10+L63*$B$11+M63*$B$12</f>
        <v/>
      </c>
      <c r="O63" s="3">
        <f>N63*設定!$B$2</f>
        <v/>
      </c>
      <c r="P63" s="3">
        <f>(D63-E63)*設定!$B$3-O63-((D63-E63)-O63)*設定!$B$4</f>
        <v/>
      </c>
      <c r="Q63" s="3">
        <f>D63*設定!$B$3-O63-(D63-O63)*設定!$B$4</f>
        <v/>
      </c>
      <c r="R63" s="3">
        <f>P63/C63</f>
        <v/>
      </c>
      <c r="S63" s="3">
        <f>Q63/C63</f>
        <v/>
      </c>
    </row>
    <row r="64">
      <c r="A64" t="inlineStr">
        <is>
          <t>S4-J-BT0270201A</t>
        </is>
      </c>
      <c r="B64" t="inlineStr">
        <is>
          <t>2027/02/01</t>
        </is>
      </c>
      <c r="C64" t="n">
        <v>2</v>
      </c>
      <c r="D64" s="3" t="n">
        <v>111800</v>
      </c>
      <c r="E64" s="3" t="n">
        <v>0</v>
      </c>
      <c r="F64" s="3" t="n">
        <v>6</v>
      </c>
      <c r="G64" s="3" t="n">
        <v>6</v>
      </c>
      <c r="H64" s="3" t="n">
        <v>2</v>
      </c>
      <c r="I64" s="3" t="n">
        <v>2</v>
      </c>
      <c r="J64" s="3" t="n">
        <v>4</v>
      </c>
      <c r="K64" s="3" t="n">
        <v>4</v>
      </c>
      <c r="L64" s="3" t="n">
        <v>2</v>
      </c>
      <c r="M64" s="3" t="n">
        <v>2</v>
      </c>
      <c r="N64" s="3">
        <f>F64*$B$5+G64*$B$6+H64*$B$7+I64*$B$8+J64*$B$9+K64*$B$10+L64*$B$11+M64*$B$12</f>
        <v/>
      </c>
      <c r="O64" s="3">
        <f>N64*設定!$B$2</f>
        <v/>
      </c>
      <c r="P64" s="3">
        <f>(D64-E64)*設定!$B$3-O64-((D64-E64)-O64)*設定!$B$4</f>
        <v/>
      </c>
      <c r="Q64" s="3">
        <f>D64*設定!$B$3-O64-(D64-O64)*設定!$B$4</f>
        <v/>
      </c>
      <c r="R64" s="3">
        <f>P64/C64</f>
        <v/>
      </c>
      <c r="S64" s="3">
        <f>Q64/C64</f>
        <v/>
      </c>
    </row>
    <row r="65">
      <c r="A65" t="inlineStr">
        <is>
          <t>S4-J-BT0270204A</t>
        </is>
      </c>
      <c r="B65" t="inlineStr">
        <is>
          <t>2027/02/04</t>
        </is>
      </c>
      <c r="C65" t="n">
        <v>3</v>
      </c>
      <c r="D65" s="3" t="n">
        <v>224450</v>
      </c>
      <c r="E65" s="3" t="n">
        <v>0</v>
      </c>
      <c r="F65" s="3" t="n">
        <v>12</v>
      </c>
      <c r="G65" s="3" t="n">
        <v>3</v>
      </c>
      <c r="H65" s="3" t="n">
        <v>3</v>
      </c>
      <c r="I65" s="3" t="n">
        <v>3</v>
      </c>
      <c r="J65" s="3" t="n">
        <v>9</v>
      </c>
      <c r="K65" s="3" t="n">
        <v>9</v>
      </c>
      <c r="L65" s="3" t="n">
        <v>3</v>
      </c>
      <c r="M65" s="3" t="n">
        <v>3</v>
      </c>
      <c r="N65" s="3">
        <f>F65*$B$5+G65*$B$6+H65*$B$7+I65*$B$8+J65*$B$9+K65*$B$10+L65*$B$11+M65*$B$12</f>
        <v/>
      </c>
      <c r="O65" s="3">
        <f>N65*設定!$B$2</f>
        <v/>
      </c>
      <c r="P65" s="3">
        <f>(D65-E65)*設定!$B$3-O65-((D65-E65)-O65)*設定!$B$4</f>
        <v/>
      </c>
      <c r="Q65" s="3">
        <f>D65*設定!$B$3-O65-(D65-O65)*設定!$B$4</f>
        <v/>
      </c>
      <c r="R65" s="3">
        <f>P65/C65</f>
        <v/>
      </c>
      <c r="S65" s="3">
        <f>Q65/C65</f>
        <v/>
      </c>
    </row>
    <row r="66">
      <c r="A66" t="inlineStr">
        <is>
          <t>S4-J-BT0270205A</t>
        </is>
      </c>
      <c r="B66" t="inlineStr">
        <is>
          <t>2027/02/05</t>
        </is>
      </c>
      <c r="C66" t="n">
        <v>4</v>
      </c>
      <c r="D66" s="3" t="n">
        <v>404400</v>
      </c>
      <c r="E66" s="3" t="n">
        <v>0</v>
      </c>
      <c r="F66" s="3" t="n">
        <v>20</v>
      </c>
      <c r="G66" s="3" t="n">
        <v>4</v>
      </c>
      <c r="H66" s="3" t="n">
        <v>4</v>
      </c>
      <c r="I66" s="3" t="n">
        <v>4</v>
      </c>
      <c r="J66" s="3" t="n">
        <v>16</v>
      </c>
      <c r="K66" s="3" t="n">
        <v>16</v>
      </c>
      <c r="L66" s="3" t="n">
        <v>4</v>
      </c>
      <c r="M66" s="3" t="n">
        <v>4</v>
      </c>
      <c r="N66" s="3">
        <f>F66*$B$5+G66*$B$6+H66*$B$7+I66*$B$8+J66*$B$9+K66*$B$10+L66*$B$11+M66*$B$12</f>
        <v/>
      </c>
      <c r="O66" s="3">
        <f>N66*設定!$B$2</f>
        <v/>
      </c>
      <c r="P66" s="3">
        <f>(D66-E66)*設定!$B$3-O66-((D66-E66)-O66)*設定!$B$4</f>
        <v/>
      </c>
      <c r="Q66" s="3">
        <f>D66*設定!$B$3-O66-(D66-O66)*設定!$B$4</f>
        <v/>
      </c>
      <c r="R66" s="3">
        <f>P66/C66</f>
        <v/>
      </c>
      <c r="S66" s="3">
        <f>Q66/C66</f>
        <v/>
      </c>
    </row>
    <row r="67">
      <c r="A67" t="inlineStr">
        <is>
          <t>S4-J-BT0270207A</t>
        </is>
      </c>
      <c r="B67" t="inlineStr">
        <is>
          <t>2027/02/07</t>
        </is>
      </c>
      <c r="C67" t="n">
        <v>2</v>
      </c>
      <c r="D67" s="3" t="n">
        <v>115800</v>
      </c>
      <c r="E67" s="3" t="n">
        <v>0</v>
      </c>
      <c r="F67" s="3" t="n">
        <v>8</v>
      </c>
      <c r="G67" s="3" t="n">
        <v>2</v>
      </c>
      <c r="H67" s="3" t="n">
        <v>2</v>
      </c>
      <c r="I67" s="3" t="n">
        <v>2</v>
      </c>
      <c r="J67" s="3" t="n">
        <v>6</v>
      </c>
      <c r="K67" s="3" t="n">
        <v>6</v>
      </c>
      <c r="L67" s="3" t="n">
        <v>2</v>
      </c>
      <c r="M67" s="3" t="n">
        <v>2</v>
      </c>
      <c r="N67" s="3">
        <f>F67*$B$5+G67*$B$6+H67*$B$7+I67*$B$8+J67*$B$9+K67*$B$10+L67*$B$11+M67*$B$12</f>
        <v/>
      </c>
      <c r="O67" s="3">
        <f>N67*設定!$B$2</f>
        <v/>
      </c>
      <c r="P67" s="3">
        <f>(D67-E67)*設定!$B$3-O67-((D67-E67)-O67)*設定!$B$4</f>
        <v/>
      </c>
      <c r="Q67" s="3">
        <f>D67*設定!$B$3-O67-(D67-O67)*設定!$B$4</f>
        <v/>
      </c>
      <c r="R67" s="3">
        <f>P67/C67</f>
        <v/>
      </c>
      <c r="S67" s="3">
        <f>Q67/C67</f>
        <v/>
      </c>
    </row>
    <row r="68">
      <c r="A68" t="inlineStr">
        <is>
          <t>S4-J-BT0270208A</t>
        </is>
      </c>
      <c r="B68" t="inlineStr">
        <is>
          <t>2027/02/08</t>
        </is>
      </c>
      <c r="C68" t="n">
        <v>3</v>
      </c>
      <c r="D68" s="3" t="n">
        <v>185200</v>
      </c>
      <c r="E68" s="3" t="n">
        <v>0</v>
      </c>
      <c r="F68" s="3" t="n">
        <v>10</v>
      </c>
      <c r="G68" s="3" t="n">
        <v>4</v>
      </c>
      <c r="H68" s="3" t="n">
        <v>3</v>
      </c>
      <c r="I68" s="3" t="n">
        <v>3</v>
      </c>
      <c r="J68" s="3" t="n">
        <v>7</v>
      </c>
      <c r="K68" s="3" t="n">
        <v>7</v>
      </c>
      <c r="L68" s="3" t="n">
        <v>3</v>
      </c>
      <c r="M68" s="3" t="n">
        <v>3</v>
      </c>
      <c r="N68" s="3">
        <f>F68*$B$5+G68*$B$6+H68*$B$7+I68*$B$8+J68*$B$9+K68*$B$10+L68*$B$11+M68*$B$12</f>
        <v/>
      </c>
      <c r="O68" s="3">
        <f>N68*設定!$B$2</f>
        <v/>
      </c>
      <c r="P68" s="3">
        <f>(D68-E68)*設定!$B$3-O68-((D68-E68)-O68)*設定!$B$4</f>
        <v/>
      </c>
      <c r="Q68" s="3">
        <f>D68*設定!$B$3-O68-(D68-O68)*設定!$B$4</f>
        <v/>
      </c>
      <c r="R68" s="3">
        <f>P68/C68</f>
        <v/>
      </c>
      <c r="S68" s="3">
        <f>Q68/C68</f>
        <v/>
      </c>
    </row>
    <row r="69">
      <c r="A69" t="inlineStr">
        <is>
          <t>S4-J-BT0270210A</t>
        </is>
      </c>
      <c r="B69" t="inlineStr">
        <is>
          <t>2027/02/10</t>
        </is>
      </c>
      <c r="C69" t="n">
        <v>2</v>
      </c>
      <c r="D69" s="3" t="n">
        <v>95800</v>
      </c>
      <c r="E69" s="3" t="n">
        <v>0</v>
      </c>
      <c r="F69" s="3" t="n">
        <v>6</v>
      </c>
      <c r="G69" s="3" t="n">
        <v>2</v>
      </c>
      <c r="H69" s="3" t="n">
        <v>2</v>
      </c>
      <c r="I69" s="3" t="n">
        <v>2</v>
      </c>
      <c r="J69" s="3" t="n">
        <v>4</v>
      </c>
      <c r="K69" s="3" t="n">
        <v>4</v>
      </c>
      <c r="L69" s="3" t="n">
        <v>2</v>
      </c>
      <c r="M69" s="3" t="n">
        <v>2</v>
      </c>
      <c r="N69" s="3">
        <f>F69*$B$5+G69*$B$6+H69*$B$7+I69*$B$8+J69*$B$9+K69*$B$10+L69*$B$11+M69*$B$12</f>
        <v/>
      </c>
      <c r="O69" s="3">
        <f>N69*設定!$B$2</f>
        <v/>
      </c>
      <c r="P69" s="3">
        <f>(D69-E69)*設定!$B$3-O69-((D69-E69)-O69)*設定!$B$4</f>
        <v/>
      </c>
      <c r="Q69" s="3">
        <f>D69*設定!$B$3-O69-(D69-O69)*設定!$B$4</f>
        <v/>
      </c>
      <c r="R69" s="3">
        <f>P69/C69</f>
        <v/>
      </c>
      <c r="S69" s="3">
        <f>Q69/C69</f>
        <v/>
      </c>
    </row>
    <row r="70">
      <c r="A70" t="inlineStr">
        <is>
          <t>S4-J-BT0270211A</t>
        </is>
      </c>
      <c r="B70" t="inlineStr">
        <is>
          <t>2027/02/11</t>
        </is>
      </c>
      <c r="C70" t="n">
        <v>7</v>
      </c>
      <c r="D70" s="3" t="n">
        <v>381300</v>
      </c>
      <c r="E70" s="3" t="n">
        <v>0</v>
      </c>
      <c r="F70" s="3" t="n">
        <v>28</v>
      </c>
      <c r="G70" s="3" t="n">
        <v>7</v>
      </c>
      <c r="H70" s="3" t="n">
        <v>7</v>
      </c>
      <c r="I70" s="3" t="n">
        <v>7</v>
      </c>
      <c r="J70" s="3" t="n">
        <v>21</v>
      </c>
      <c r="K70" s="3" t="n">
        <v>21</v>
      </c>
      <c r="L70" s="3" t="n">
        <v>7</v>
      </c>
      <c r="M70" s="3" t="n">
        <v>7</v>
      </c>
      <c r="N70" s="3">
        <f>F70*$B$5+G70*$B$6+H70*$B$7+I70*$B$8+J70*$B$9+K70*$B$10+L70*$B$11+M70*$B$12</f>
        <v/>
      </c>
      <c r="O70" s="3">
        <f>N70*設定!$B$2</f>
        <v/>
      </c>
      <c r="P70" s="3">
        <f>(D70-E70)*設定!$B$3-O70-((D70-E70)-O70)*設定!$B$4</f>
        <v/>
      </c>
      <c r="Q70" s="3">
        <f>D70*設定!$B$3-O70-(D70-O70)*設定!$B$4</f>
        <v/>
      </c>
      <c r="R70" s="3">
        <f>P70/C70</f>
        <v/>
      </c>
      <c r="S70" s="3">
        <f>Q70/C70</f>
        <v/>
      </c>
    </row>
    <row r="71">
      <c r="A71" t="inlineStr">
        <is>
          <t>S4-J-BT0270212A</t>
        </is>
      </c>
      <c r="B71" t="inlineStr">
        <is>
          <t>2027/02/12</t>
        </is>
      </c>
      <c r="C71" t="n">
        <v>1</v>
      </c>
      <c r="D71" s="3" t="n">
        <v>42900</v>
      </c>
      <c r="E71" s="3" t="n">
        <v>0</v>
      </c>
      <c r="F71" s="3" t="n">
        <v>3</v>
      </c>
      <c r="G71" s="3" t="n">
        <v>1</v>
      </c>
      <c r="H71" s="3" t="n">
        <v>1</v>
      </c>
      <c r="I71" s="3" t="n">
        <v>1</v>
      </c>
      <c r="J71" s="3" t="n">
        <v>2</v>
      </c>
      <c r="K71" s="3" t="n">
        <v>2</v>
      </c>
      <c r="L71" s="3" t="n">
        <v>1</v>
      </c>
      <c r="M71" s="3" t="n">
        <v>1</v>
      </c>
      <c r="N71" s="3">
        <f>F71*$B$5+G71*$B$6+H71*$B$7+I71*$B$8+J71*$B$9+K71*$B$10+L71*$B$11+M71*$B$12</f>
        <v/>
      </c>
      <c r="O71" s="3">
        <f>N71*設定!$B$2</f>
        <v/>
      </c>
      <c r="P71" s="3">
        <f>(D71-E71)*設定!$B$3-O71-((D71-E71)-O71)*設定!$B$4</f>
        <v/>
      </c>
      <c r="Q71" s="3">
        <f>D71*設定!$B$3-O71-(D71-O71)*設定!$B$4</f>
        <v/>
      </c>
      <c r="R71" s="3">
        <f>P71/C71</f>
        <v/>
      </c>
      <c r="S71" s="3">
        <f>Q71/C71</f>
        <v/>
      </c>
    </row>
    <row r="72">
      <c r="A72" t="inlineStr">
        <is>
          <t>S4-J-BT0270213A</t>
        </is>
      </c>
      <c r="B72" t="inlineStr">
        <is>
          <t>2027/02/13</t>
        </is>
      </c>
      <c r="C72" t="n">
        <v>2</v>
      </c>
      <c r="D72" s="3" t="n">
        <v>129800</v>
      </c>
      <c r="E72" s="3" t="n">
        <v>0</v>
      </c>
      <c r="F72" s="3" t="n">
        <v>10</v>
      </c>
      <c r="G72" s="3" t="n">
        <v>2</v>
      </c>
      <c r="H72" s="3" t="n">
        <v>2</v>
      </c>
      <c r="I72" s="3" t="n">
        <v>2</v>
      </c>
      <c r="J72" s="3" t="n">
        <v>8</v>
      </c>
      <c r="K72" s="3" t="n">
        <v>8</v>
      </c>
      <c r="L72" s="3" t="n">
        <v>2</v>
      </c>
      <c r="M72" s="3" t="n">
        <v>2</v>
      </c>
      <c r="N72" s="3">
        <f>F72*$B$5+G72*$B$6+H72*$B$7+I72*$B$8+J72*$B$9+K72*$B$10+L72*$B$11+M72*$B$12</f>
        <v/>
      </c>
      <c r="O72" s="3">
        <f>N72*設定!$B$2</f>
        <v/>
      </c>
      <c r="P72" s="3">
        <f>(D72-E72)*設定!$B$3-O72-((D72-E72)-O72)*設定!$B$4</f>
        <v/>
      </c>
      <c r="Q72" s="3">
        <f>D72*設定!$B$3-O72-(D72-O72)*設定!$B$4</f>
        <v/>
      </c>
      <c r="R72" s="3">
        <f>P72/C72</f>
        <v/>
      </c>
      <c r="S72" s="3">
        <f>Q72/C72</f>
        <v/>
      </c>
    </row>
    <row r="73">
      <c r="A73" t="inlineStr">
        <is>
          <t>S4-J-BT0270214A</t>
        </is>
      </c>
      <c r="B73" t="inlineStr">
        <is>
          <t>2027/02/14</t>
        </is>
      </c>
      <c r="C73" t="n">
        <v>2</v>
      </c>
      <c r="D73" s="3" t="n">
        <v>121800</v>
      </c>
      <c r="E73" s="3" t="n">
        <v>0</v>
      </c>
      <c r="F73" s="3" t="n">
        <v>8</v>
      </c>
      <c r="G73" s="3" t="n">
        <v>2</v>
      </c>
      <c r="H73" s="3" t="n">
        <v>2</v>
      </c>
      <c r="I73" s="3" t="n">
        <v>2</v>
      </c>
      <c r="J73" s="3" t="n">
        <v>6</v>
      </c>
      <c r="K73" s="3" t="n">
        <v>6</v>
      </c>
      <c r="L73" s="3" t="n">
        <v>2</v>
      </c>
      <c r="M73" s="3" t="n">
        <v>2</v>
      </c>
      <c r="N73" s="3">
        <f>F73*$B$5+G73*$B$6+H73*$B$7+I73*$B$8+J73*$B$9+K73*$B$10+L73*$B$11+M73*$B$12</f>
        <v/>
      </c>
      <c r="O73" s="3">
        <f>N73*設定!$B$2</f>
        <v/>
      </c>
      <c r="P73" s="3">
        <f>(D73-E73)*設定!$B$3-O73-((D73-E73)-O73)*設定!$B$4</f>
        <v/>
      </c>
      <c r="Q73" s="3">
        <f>D73*設定!$B$3-O73-(D73-O73)*設定!$B$4</f>
        <v/>
      </c>
      <c r="R73" s="3">
        <f>P73/C73</f>
        <v/>
      </c>
      <c r="S73" s="3">
        <f>Q73/C73</f>
        <v/>
      </c>
    </row>
    <row r="74">
      <c r="A74" t="inlineStr">
        <is>
          <t>S4-J-BT0270216A</t>
        </is>
      </c>
      <c r="B74" t="inlineStr">
        <is>
          <t>2027/02/16</t>
        </is>
      </c>
      <c r="C74" t="n">
        <v>2</v>
      </c>
      <c r="D74" s="3" t="n">
        <v>85800</v>
      </c>
      <c r="E74" s="3" t="n">
        <v>0</v>
      </c>
      <c r="F74" s="3" t="n">
        <v>6</v>
      </c>
      <c r="G74" s="3" t="n">
        <v>2</v>
      </c>
      <c r="H74" s="3" t="n">
        <v>2</v>
      </c>
      <c r="I74" s="3" t="n">
        <v>2</v>
      </c>
      <c r="J74" s="3" t="n">
        <v>4</v>
      </c>
      <c r="K74" s="3" t="n">
        <v>4</v>
      </c>
      <c r="L74" s="3" t="n">
        <v>2</v>
      </c>
      <c r="M74" s="3" t="n">
        <v>2</v>
      </c>
      <c r="N74" s="3">
        <f>F74*$B$5+G74*$B$6+H74*$B$7+I74*$B$8+J74*$B$9+K74*$B$10+L74*$B$11+M74*$B$12</f>
        <v/>
      </c>
      <c r="O74" s="3">
        <f>N74*設定!$B$2</f>
        <v/>
      </c>
      <c r="P74" s="3">
        <f>(D74-E74)*設定!$B$3-O74-((D74-E74)-O74)*設定!$B$4</f>
        <v/>
      </c>
      <c r="Q74" s="3">
        <f>D74*設定!$B$3-O74-(D74-O74)*設定!$B$4</f>
        <v/>
      </c>
      <c r="R74" s="3">
        <f>P74/C74</f>
        <v/>
      </c>
      <c r="S74" s="3">
        <f>Q74/C74</f>
        <v/>
      </c>
    </row>
    <row r="75">
      <c r="A75" t="inlineStr">
        <is>
          <t>S4-J-BT0270217A</t>
        </is>
      </c>
      <c r="B75" t="inlineStr">
        <is>
          <t>2027/02/17</t>
        </is>
      </c>
      <c r="C75" t="n">
        <v>2</v>
      </c>
      <c r="D75" s="3" t="n">
        <v>87800</v>
      </c>
      <c r="E75" s="3" t="n">
        <v>0</v>
      </c>
      <c r="F75" s="3" t="n">
        <v>6</v>
      </c>
      <c r="G75" s="3" t="n">
        <v>2</v>
      </c>
      <c r="H75" s="3" t="n">
        <v>2</v>
      </c>
      <c r="I75" s="3" t="n">
        <v>2</v>
      </c>
      <c r="J75" s="3" t="n">
        <v>4</v>
      </c>
      <c r="K75" s="3" t="n">
        <v>4</v>
      </c>
      <c r="L75" s="3" t="n">
        <v>2</v>
      </c>
      <c r="M75" s="3" t="n">
        <v>2</v>
      </c>
      <c r="N75" s="3">
        <f>F75*$B$5+G75*$B$6+H75*$B$7+I75*$B$8+J75*$B$9+K75*$B$10+L75*$B$11+M75*$B$12</f>
        <v/>
      </c>
      <c r="O75" s="3">
        <f>N75*設定!$B$2</f>
        <v/>
      </c>
      <c r="P75" s="3">
        <f>(D75-E75)*設定!$B$3-O75-((D75-E75)-O75)*設定!$B$4</f>
        <v/>
      </c>
      <c r="Q75" s="3">
        <f>D75*設定!$B$3-O75-(D75-O75)*設定!$B$4</f>
        <v/>
      </c>
      <c r="R75" s="3">
        <f>P75/C75</f>
        <v/>
      </c>
      <c r="S75" s="3">
        <f>Q75/C75</f>
        <v/>
      </c>
    </row>
    <row r="76">
      <c r="A76" t="inlineStr">
        <is>
          <t>S4-J-BT0270218A</t>
        </is>
      </c>
      <c r="B76" t="inlineStr">
        <is>
          <t>2027/02/18</t>
        </is>
      </c>
      <c r="C76" t="n">
        <v>9</v>
      </c>
      <c r="D76" s="3" t="n">
        <v>388100</v>
      </c>
      <c r="E76" s="3" t="n">
        <v>0</v>
      </c>
      <c r="F76" s="3" t="n">
        <v>27</v>
      </c>
      <c r="G76" s="3" t="n">
        <v>9</v>
      </c>
      <c r="H76" s="3" t="n">
        <v>9</v>
      </c>
      <c r="I76" s="3" t="n">
        <v>9</v>
      </c>
      <c r="J76" s="3" t="n">
        <v>18</v>
      </c>
      <c r="K76" s="3" t="n">
        <v>18</v>
      </c>
      <c r="L76" s="3" t="n">
        <v>9</v>
      </c>
      <c r="M76" s="3" t="n">
        <v>9</v>
      </c>
      <c r="N76" s="3">
        <f>F76*$B$5+G76*$B$6+H76*$B$7+I76*$B$8+J76*$B$9+K76*$B$10+L76*$B$11+M76*$B$12</f>
        <v/>
      </c>
      <c r="O76" s="3">
        <f>N76*設定!$B$2</f>
        <v/>
      </c>
      <c r="P76" s="3">
        <f>(D76-E76)*設定!$B$3-O76-((D76-E76)-O76)*設定!$B$4</f>
        <v/>
      </c>
      <c r="Q76" s="3">
        <f>D76*設定!$B$3-O76-(D76-O76)*設定!$B$4</f>
        <v/>
      </c>
      <c r="R76" s="3">
        <f>P76/C76</f>
        <v/>
      </c>
      <c r="S76" s="3">
        <f>Q76/C76</f>
        <v/>
      </c>
    </row>
    <row r="77">
      <c r="A77" t="inlineStr">
        <is>
          <t>S4-J-BT0270219A</t>
        </is>
      </c>
      <c r="B77" t="inlineStr">
        <is>
          <t>2027/02/19</t>
        </is>
      </c>
      <c r="C77" t="n">
        <v>6</v>
      </c>
      <c r="D77" s="3" t="n">
        <v>331800</v>
      </c>
      <c r="E77" s="3" t="n">
        <v>18400</v>
      </c>
      <c r="F77" s="3" t="n">
        <v>22</v>
      </c>
      <c r="G77" s="3" t="n">
        <v>6</v>
      </c>
      <c r="H77" s="3" t="n">
        <v>6</v>
      </c>
      <c r="I77" s="3" t="n">
        <v>6</v>
      </c>
      <c r="J77" s="3" t="n">
        <v>16</v>
      </c>
      <c r="K77" s="3" t="n">
        <v>16</v>
      </c>
      <c r="L77" s="3" t="n">
        <v>6</v>
      </c>
      <c r="M77" s="3" t="n">
        <v>6</v>
      </c>
      <c r="N77" s="3">
        <f>F77*$B$5+G77*$B$6+H77*$B$7+I77*$B$8+J77*$B$9+K77*$B$10+L77*$B$11+M77*$B$12</f>
        <v/>
      </c>
      <c r="O77" s="3">
        <f>N77*設定!$B$2</f>
        <v/>
      </c>
      <c r="P77" s="3">
        <f>(D77-E77)*設定!$B$3-O77-((D77-E77)-O77)*設定!$B$4</f>
        <v/>
      </c>
      <c r="Q77" s="3">
        <f>D77*設定!$B$3-O77-(D77-O77)*設定!$B$4</f>
        <v/>
      </c>
      <c r="R77" s="3">
        <f>P77/C77</f>
        <v/>
      </c>
      <c r="S77" s="3">
        <f>Q77/C77</f>
        <v/>
      </c>
    </row>
    <row r="78">
      <c r="A78" t="inlineStr">
        <is>
          <t>S4-J-BT0270220A</t>
        </is>
      </c>
      <c r="B78" t="inlineStr">
        <is>
          <t>2027/02/20</t>
        </is>
      </c>
      <c r="C78" t="n">
        <v>6</v>
      </c>
      <c r="D78" s="3" t="n">
        <v>289400</v>
      </c>
      <c r="E78" s="3" t="n">
        <v>0</v>
      </c>
      <c r="F78" s="3" t="n">
        <v>18</v>
      </c>
      <c r="G78" s="3" t="n">
        <v>6</v>
      </c>
      <c r="H78" s="3" t="n">
        <v>6</v>
      </c>
      <c r="I78" s="3" t="n">
        <v>6</v>
      </c>
      <c r="J78" s="3" t="n">
        <v>12</v>
      </c>
      <c r="K78" s="3" t="n">
        <v>12</v>
      </c>
      <c r="L78" s="3" t="n">
        <v>6</v>
      </c>
      <c r="M78" s="3" t="n">
        <v>6</v>
      </c>
      <c r="N78" s="3">
        <f>F78*$B$5+G78*$B$6+H78*$B$7+I78*$B$8+J78*$B$9+K78*$B$10+L78*$B$11+M78*$B$12</f>
        <v/>
      </c>
      <c r="O78" s="3">
        <f>N78*設定!$B$2</f>
        <v/>
      </c>
      <c r="P78" s="3">
        <f>(D78-E78)*設定!$B$3-O78-((D78-E78)-O78)*設定!$B$4</f>
        <v/>
      </c>
      <c r="Q78" s="3">
        <f>D78*設定!$B$3-O78-(D78-O78)*設定!$B$4</f>
        <v/>
      </c>
      <c r="R78" s="3">
        <f>P78/C78</f>
        <v/>
      </c>
      <c r="S78" s="3">
        <f>Q78/C78</f>
        <v/>
      </c>
    </row>
    <row r="79">
      <c r="A79" t="inlineStr">
        <is>
          <t>S4-J-BT0270222A</t>
        </is>
      </c>
      <c r="B79" t="inlineStr">
        <is>
          <t>2027/02/22</t>
        </is>
      </c>
      <c r="C79" t="n">
        <v>2</v>
      </c>
      <c r="D79" s="3" t="n">
        <v>88200</v>
      </c>
      <c r="E79" s="3" t="n">
        <v>0</v>
      </c>
      <c r="F79" s="3" t="n">
        <v>6</v>
      </c>
      <c r="G79" s="3" t="n">
        <v>2</v>
      </c>
      <c r="H79" s="3" t="n">
        <v>2</v>
      </c>
      <c r="I79" s="3" t="n">
        <v>2</v>
      </c>
      <c r="J79" s="3" t="n">
        <v>4</v>
      </c>
      <c r="K79" s="3" t="n">
        <v>4</v>
      </c>
      <c r="L79" s="3" t="n">
        <v>2</v>
      </c>
      <c r="M79" s="3" t="n">
        <v>2</v>
      </c>
      <c r="N79" s="3">
        <f>F79*$B$5+G79*$B$6+H79*$B$7+I79*$B$8+J79*$B$9+K79*$B$10+L79*$B$11+M79*$B$12</f>
        <v/>
      </c>
      <c r="O79" s="3">
        <f>N79*設定!$B$2</f>
        <v/>
      </c>
      <c r="P79" s="3">
        <f>(D79-E79)*設定!$B$3-O79-((D79-E79)-O79)*設定!$B$4</f>
        <v/>
      </c>
      <c r="Q79" s="3">
        <f>D79*設定!$B$3-O79-(D79-O79)*設定!$B$4</f>
        <v/>
      </c>
      <c r="R79" s="3">
        <f>P79/C79</f>
        <v/>
      </c>
      <c r="S79" s="3">
        <f>Q79/C79</f>
        <v/>
      </c>
    </row>
    <row r="80">
      <c r="A80" t="inlineStr">
        <is>
          <t>S4-J-BT0270223A</t>
        </is>
      </c>
      <c r="B80" t="inlineStr">
        <is>
          <t>2027/02/23</t>
        </is>
      </c>
      <c r="C80" t="n">
        <v>2</v>
      </c>
      <c r="D80" s="3" t="n">
        <v>91800</v>
      </c>
      <c r="E80" s="3" t="n">
        <v>0</v>
      </c>
      <c r="F80" s="3" t="n">
        <v>6</v>
      </c>
      <c r="G80" s="3" t="n">
        <v>2</v>
      </c>
      <c r="H80" s="3" t="n">
        <v>2</v>
      </c>
      <c r="I80" s="3" t="n">
        <v>2</v>
      </c>
      <c r="J80" s="3" t="n">
        <v>4</v>
      </c>
      <c r="K80" s="3" t="n">
        <v>4</v>
      </c>
      <c r="L80" s="3" t="n">
        <v>2</v>
      </c>
      <c r="M80" s="3" t="n">
        <v>2</v>
      </c>
      <c r="N80" s="3">
        <f>F80*$B$5+G80*$B$6+H80*$B$7+I80*$B$8+J80*$B$9+K80*$B$10+L80*$B$11+M80*$B$12</f>
        <v/>
      </c>
      <c r="O80" s="3">
        <f>N80*設定!$B$2</f>
        <v/>
      </c>
      <c r="P80" s="3">
        <f>(D80-E80)*設定!$B$3-O80-((D80-E80)-O80)*設定!$B$4</f>
        <v/>
      </c>
      <c r="Q80" s="3">
        <f>D80*設定!$B$3-O80-(D80-O80)*設定!$B$4</f>
        <v/>
      </c>
      <c r="R80" s="3">
        <f>P80/C80</f>
        <v/>
      </c>
      <c r="S80" s="3">
        <f>Q80/C80</f>
        <v/>
      </c>
    </row>
    <row r="81">
      <c r="A81" t="inlineStr">
        <is>
          <t>S4-J-BT0270224A</t>
        </is>
      </c>
      <c r="B81" t="inlineStr">
        <is>
          <t>2027/02/24</t>
        </is>
      </c>
      <c r="C81" t="n">
        <v>5</v>
      </c>
      <c r="D81" s="3" t="n">
        <v>246700</v>
      </c>
      <c r="E81" s="3" t="n">
        <v>7200</v>
      </c>
      <c r="F81" s="3" t="n">
        <v>15</v>
      </c>
      <c r="G81" s="3" t="n">
        <v>5</v>
      </c>
      <c r="H81" s="3" t="n">
        <v>5</v>
      </c>
      <c r="I81" s="3" t="n">
        <v>5</v>
      </c>
      <c r="J81" s="3" t="n">
        <v>10</v>
      </c>
      <c r="K81" s="3" t="n">
        <v>10</v>
      </c>
      <c r="L81" s="3" t="n">
        <v>5</v>
      </c>
      <c r="M81" s="3" t="n">
        <v>5</v>
      </c>
      <c r="N81" s="3">
        <f>F81*$B$5+G81*$B$6+H81*$B$7+I81*$B$8+J81*$B$9+K81*$B$10+L81*$B$11+M81*$B$12</f>
        <v/>
      </c>
      <c r="O81" s="3">
        <f>N81*設定!$B$2</f>
        <v/>
      </c>
      <c r="P81" s="3">
        <f>(D81-E81)*設定!$B$3-O81-((D81-E81)-O81)*設定!$B$4</f>
        <v/>
      </c>
      <c r="Q81" s="3">
        <f>D81*設定!$B$3-O81-(D81-O81)*設定!$B$4</f>
        <v/>
      </c>
      <c r="R81" s="3">
        <f>P81/C81</f>
        <v/>
      </c>
      <c r="S81" s="3">
        <f>Q81/C81</f>
        <v/>
      </c>
    </row>
    <row r="82">
      <c r="A82" t="inlineStr">
        <is>
          <t>S4-J-BT0270227A</t>
        </is>
      </c>
      <c r="B82" t="inlineStr">
        <is>
          <t>2027/02/27</t>
        </is>
      </c>
      <c r="C82" t="n">
        <v>5</v>
      </c>
      <c r="D82" s="3" t="n">
        <v>258500</v>
      </c>
      <c r="E82" s="3" t="n">
        <v>0</v>
      </c>
      <c r="F82" s="3" t="n">
        <v>15</v>
      </c>
      <c r="G82" s="3" t="n">
        <v>5</v>
      </c>
      <c r="H82" s="3" t="n">
        <v>5</v>
      </c>
      <c r="I82" s="3" t="n">
        <v>5</v>
      </c>
      <c r="J82" s="3" t="n">
        <v>10</v>
      </c>
      <c r="K82" s="3" t="n">
        <v>10</v>
      </c>
      <c r="L82" s="3" t="n">
        <v>5</v>
      </c>
      <c r="M82" s="3" t="n">
        <v>5</v>
      </c>
      <c r="N82" s="3">
        <f>F82*$B$5+G82*$B$6+H82*$B$7+I82*$B$8+J82*$B$9+K82*$B$10+L82*$B$11+M82*$B$12</f>
        <v/>
      </c>
      <c r="O82" s="3">
        <f>N82*設定!$B$2</f>
        <v/>
      </c>
      <c r="P82" s="3">
        <f>(D82-E82)*設定!$B$3-O82-((D82-E82)-O82)*設定!$B$4</f>
        <v/>
      </c>
      <c r="Q82" s="3">
        <f>D82*設定!$B$3-O82-(D82-O82)*設定!$B$4</f>
        <v/>
      </c>
      <c r="R82" s="3">
        <f>P82/C82</f>
        <v/>
      </c>
      <c r="S82" s="3">
        <f>Q82/C82</f>
        <v/>
      </c>
    </row>
    <row r="83">
      <c r="A83" t="inlineStr">
        <is>
          <t>S4-J-BT0270301A</t>
        </is>
      </c>
      <c r="B83" t="inlineStr">
        <is>
          <t>2027/03/01</t>
        </is>
      </c>
      <c r="C83" t="n">
        <v>12</v>
      </c>
      <c r="D83" s="3" t="n">
        <v>611800</v>
      </c>
      <c r="E83" s="3" t="n">
        <v>9000</v>
      </c>
      <c r="F83" s="3" t="n">
        <v>44</v>
      </c>
      <c r="G83" s="3" t="n">
        <v>12</v>
      </c>
      <c r="H83" s="3" t="n">
        <v>12</v>
      </c>
      <c r="I83" s="3" t="n">
        <v>12</v>
      </c>
      <c r="J83" s="3" t="n">
        <v>32</v>
      </c>
      <c r="K83" s="3" t="n">
        <v>32</v>
      </c>
      <c r="L83" s="3" t="n">
        <v>12</v>
      </c>
      <c r="M83" s="3" t="n">
        <v>12</v>
      </c>
      <c r="N83" s="3">
        <f>F83*$B$5+G83*$B$6+H83*$B$7+I83*$B$8+J83*$B$9+K83*$B$10+L83*$B$11+M83*$B$12</f>
        <v/>
      </c>
      <c r="O83" s="3">
        <f>N83*設定!$B$2</f>
        <v/>
      </c>
      <c r="P83" s="3">
        <f>(D83-E83)*設定!$B$3-O83-((D83-E83)-O83)*設定!$B$4</f>
        <v/>
      </c>
      <c r="Q83" s="3">
        <f>D83*設定!$B$3-O83-(D83-O83)*設定!$B$4</f>
        <v/>
      </c>
      <c r="R83" s="3">
        <f>P83/C83</f>
        <v/>
      </c>
      <c r="S83" s="3">
        <f>Q83/C83</f>
        <v/>
      </c>
    </row>
    <row r="84">
      <c r="A84" t="inlineStr">
        <is>
          <t>S4-J-BT0270303A</t>
        </is>
      </c>
      <c r="B84" t="inlineStr">
        <is>
          <t>2027/03/03</t>
        </is>
      </c>
      <c r="C84" t="n">
        <v>2</v>
      </c>
      <c r="D84" s="3" t="n">
        <v>85800</v>
      </c>
      <c r="E84" s="3" t="n">
        <v>0</v>
      </c>
      <c r="F84" s="3" t="n">
        <v>6</v>
      </c>
      <c r="G84" s="3" t="n">
        <v>2</v>
      </c>
      <c r="H84" s="3" t="n">
        <v>2</v>
      </c>
      <c r="I84" s="3" t="n">
        <v>2</v>
      </c>
      <c r="J84" s="3" t="n">
        <v>4</v>
      </c>
      <c r="K84" s="3" t="n">
        <v>4</v>
      </c>
      <c r="L84" s="3" t="n">
        <v>2</v>
      </c>
      <c r="M84" s="3" t="n">
        <v>2</v>
      </c>
      <c r="N84" s="3">
        <f>F84*$B$5+G84*$B$6+H84*$B$7+I84*$B$8+J84*$B$9+K84*$B$10+L84*$B$11+M84*$B$12</f>
        <v/>
      </c>
      <c r="O84" s="3">
        <f>N84*設定!$B$2</f>
        <v/>
      </c>
      <c r="P84" s="3">
        <f>(D84-E84)*設定!$B$3-O84-((D84-E84)-O84)*設定!$B$4</f>
        <v/>
      </c>
      <c r="Q84" s="3">
        <f>D84*設定!$B$3-O84-(D84-O84)*設定!$B$4</f>
        <v/>
      </c>
      <c r="R84" s="3">
        <f>P84/C84</f>
        <v/>
      </c>
      <c r="S84" s="3">
        <f>Q84/C84</f>
        <v/>
      </c>
    </row>
    <row r="85">
      <c r="A85" t="inlineStr">
        <is>
          <t>S4-J-BT0270307A</t>
        </is>
      </c>
      <c r="B85" t="inlineStr">
        <is>
          <t>2027/03/07</t>
        </is>
      </c>
      <c r="C85" t="n">
        <v>2</v>
      </c>
      <c r="D85" s="3" t="n">
        <v>112200</v>
      </c>
      <c r="E85" s="3" t="n">
        <v>8400</v>
      </c>
      <c r="F85" s="3" t="n">
        <v>8</v>
      </c>
      <c r="G85" s="3" t="n">
        <v>2</v>
      </c>
      <c r="H85" s="3" t="n">
        <v>2</v>
      </c>
      <c r="I85" s="3" t="n">
        <v>2</v>
      </c>
      <c r="J85" s="3" t="n">
        <v>6</v>
      </c>
      <c r="K85" s="3" t="n">
        <v>6</v>
      </c>
      <c r="L85" s="3" t="n">
        <v>2</v>
      </c>
      <c r="M85" s="3" t="n">
        <v>2</v>
      </c>
      <c r="N85" s="3">
        <f>F85*$B$5+G85*$B$6+H85*$B$7+I85*$B$8+J85*$B$9+K85*$B$10+L85*$B$11+M85*$B$12</f>
        <v/>
      </c>
      <c r="O85" s="3">
        <f>N85*設定!$B$2</f>
        <v/>
      </c>
      <c r="P85" s="3">
        <f>(D85-E85)*設定!$B$3-O85-((D85-E85)-O85)*設定!$B$4</f>
        <v/>
      </c>
      <c r="Q85" s="3">
        <f>D85*設定!$B$3-O85-(D85-O85)*設定!$B$4</f>
        <v/>
      </c>
      <c r="R85" s="3">
        <f>P85/C85</f>
        <v/>
      </c>
      <c r="S85" s="3">
        <f>Q85/C85</f>
        <v/>
      </c>
    </row>
    <row r="86">
      <c r="A86" t="inlineStr">
        <is>
          <t>S4-J-BT0270308A</t>
        </is>
      </c>
      <c r="B86" t="inlineStr">
        <is>
          <t>2027/03/08</t>
        </is>
      </c>
      <c r="C86" t="n">
        <v>4</v>
      </c>
      <c r="D86" s="3" t="n">
        <v>196400</v>
      </c>
      <c r="E86" s="3" t="n">
        <v>12800</v>
      </c>
      <c r="F86" s="3" t="n">
        <v>12</v>
      </c>
      <c r="G86" s="3" t="n">
        <v>8</v>
      </c>
      <c r="H86" s="3" t="n">
        <v>4</v>
      </c>
      <c r="I86" s="3" t="n">
        <v>4</v>
      </c>
      <c r="J86" s="3" t="n">
        <v>8</v>
      </c>
      <c r="K86" s="3" t="n">
        <v>8</v>
      </c>
      <c r="L86" s="3" t="n">
        <v>4</v>
      </c>
      <c r="M86" s="3" t="n">
        <v>4</v>
      </c>
      <c r="N86" s="3">
        <f>F86*$B$5+G86*$B$6+H86*$B$7+I86*$B$8+J86*$B$9+K86*$B$10+L86*$B$11+M86*$B$12</f>
        <v/>
      </c>
      <c r="O86" s="3">
        <f>N86*設定!$B$2</f>
        <v/>
      </c>
      <c r="P86" s="3">
        <f>(D86-E86)*設定!$B$3-O86-((D86-E86)-O86)*設定!$B$4</f>
        <v/>
      </c>
      <c r="Q86" s="3">
        <f>D86*設定!$B$3-O86-(D86-O86)*設定!$B$4</f>
        <v/>
      </c>
      <c r="R86" s="3">
        <f>P86/C86</f>
        <v/>
      </c>
      <c r="S86" s="3">
        <f>Q86/C86</f>
        <v/>
      </c>
    </row>
    <row r="87">
      <c r="A87" t="inlineStr">
        <is>
          <t>S4-J-BT0270309A</t>
        </is>
      </c>
      <c r="B87" t="inlineStr">
        <is>
          <t>2027/03/09</t>
        </is>
      </c>
      <c r="C87" t="n">
        <v>8</v>
      </c>
      <c r="D87" s="3" t="n">
        <v>368800</v>
      </c>
      <c r="E87" s="3" t="n">
        <v>25600</v>
      </c>
      <c r="F87" s="3" t="n">
        <v>24</v>
      </c>
      <c r="G87" s="3" t="n">
        <v>8</v>
      </c>
      <c r="H87" s="3" t="n">
        <v>8</v>
      </c>
      <c r="I87" s="3" t="n">
        <v>8</v>
      </c>
      <c r="J87" s="3" t="n">
        <v>16</v>
      </c>
      <c r="K87" s="3" t="n">
        <v>16</v>
      </c>
      <c r="L87" s="3" t="n">
        <v>8</v>
      </c>
      <c r="M87" s="3" t="n">
        <v>8</v>
      </c>
      <c r="N87" s="3">
        <f>F87*$B$5+G87*$B$6+H87*$B$7+I87*$B$8+J87*$B$9+K87*$B$10+L87*$B$11+M87*$B$12</f>
        <v/>
      </c>
      <c r="O87" s="3">
        <f>N87*設定!$B$2</f>
        <v/>
      </c>
      <c r="P87" s="3">
        <f>(D87-E87)*設定!$B$3-O87-((D87-E87)-O87)*設定!$B$4</f>
        <v/>
      </c>
      <c r="Q87" s="3">
        <f>D87*設定!$B$3-O87-(D87-O87)*設定!$B$4</f>
        <v/>
      </c>
      <c r="R87" s="3">
        <f>P87/C87</f>
        <v/>
      </c>
      <c r="S87" s="3">
        <f>Q87/C87</f>
        <v/>
      </c>
    </row>
    <row r="88">
      <c r="A88" t="inlineStr">
        <is>
          <t>S4-J-BT0270310A</t>
        </is>
      </c>
      <c r="B88" t="inlineStr">
        <is>
          <t>2027/03/10</t>
        </is>
      </c>
      <c r="C88" t="n">
        <v>4</v>
      </c>
      <c r="D88" s="3" t="n">
        <v>191600</v>
      </c>
      <c r="E88" s="3" t="n">
        <v>0</v>
      </c>
      <c r="F88" s="3" t="n">
        <v>12</v>
      </c>
      <c r="G88" s="3" t="n">
        <v>4</v>
      </c>
      <c r="H88" s="3" t="n">
        <v>4</v>
      </c>
      <c r="I88" s="3" t="n">
        <v>4</v>
      </c>
      <c r="J88" s="3" t="n">
        <v>8</v>
      </c>
      <c r="K88" s="3" t="n">
        <v>8</v>
      </c>
      <c r="L88" s="3" t="n">
        <v>4</v>
      </c>
      <c r="M88" s="3" t="n">
        <v>4</v>
      </c>
      <c r="N88" s="3">
        <f>F88*$B$5+G88*$B$6+H88*$B$7+I88*$B$8+J88*$B$9+K88*$B$10+L88*$B$11+M88*$B$12</f>
        <v/>
      </c>
      <c r="O88" s="3">
        <f>N88*設定!$B$2</f>
        <v/>
      </c>
      <c r="P88" s="3">
        <f>(D88-E88)*設定!$B$3-O88-((D88-E88)-O88)*設定!$B$4</f>
        <v/>
      </c>
      <c r="Q88" s="3">
        <f>D88*設定!$B$3-O88-(D88-O88)*設定!$B$4</f>
        <v/>
      </c>
      <c r="R88" s="3">
        <f>P88/C88</f>
        <v/>
      </c>
      <c r="S88" s="3">
        <f>Q88/C88</f>
        <v/>
      </c>
    </row>
    <row r="89">
      <c r="A89" t="inlineStr">
        <is>
          <t>S4-J-BT0270311A</t>
        </is>
      </c>
      <c r="B89" t="inlineStr">
        <is>
          <t>2027/03/11</t>
        </is>
      </c>
      <c r="C89" t="n">
        <v>4</v>
      </c>
      <c r="D89" s="3" t="n">
        <v>211600</v>
      </c>
      <c r="E89" s="3" t="n">
        <v>0</v>
      </c>
      <c r="F89" s="3" t="n">
        <v>16</v>
      </c>
      <c r="G89" s="3" t="n">
        <v>4</v>
      </c>
      <c r="H89" s="3" t="n">
        <v>4</v>
      </c>
      <c r="I89" s="3" t="n">
        <v>4</v>
      </c>
      <c r="J89" s="3" t="n">
        <v>12</v>
      </c>
      <c r="K89" s="3" t="n">
        <v>12</v>
      </c>
      <c r="L89" s="3" t="n">
        <v>4</v>
      </c>
      <c r="M89" s="3" t="n">
        <v>4</v>
      </c>
      <c r="N89" s="3">
        <f>F89*$B$5+G89*$B$6+H89*$B$7+I89*$B$8+J89*$B$9+K89*$B$10+L89*$B$11+M89*$B$12</f>
        <v/>
      </c>
      <c r="O89" s="3">
        <f>N89*設定!$B$2</f>
        <v/>
      </c>
      <c r="P89" s="3">
        <f>(D89-E89)*設定!$B$3-O89-((D89-E89)-O89)*設定!$B$4</f>
        <v/>
      </c>
      <c r="Q89" s="3">
        <f>D89*設定!$B$3-O89-(D89-O89)*設定!$B$4</f>
        <v/>
      </c>
      <c r="R89" s="3">
        <f>P89/C89</f>
        <v/>
      </c>
      <c r="S89" s="3">
        <f>Q89/C89</f>
        <v/>
      </c>
    </row>
    <row r="90">
      <c r="A90" t="inlineStr">
        <is>
          <t>S4-J-BT0270313A</t>
        </is>
      </c>
      <c r="B90" t="inlineStr">
        <is>
          <t>2027/03/13</t>
        </is>
      </c>
      <c r="C90" t="n">
        <v>2</v>
      </c>
      <c r="D90" s="3" t="n">
        <v>87800</v>
      </c>
      <c r="E90" s="3" t="n">
        <v>0</v>
      </c>
      <c r="F90" s="3" t="n">
        <v>6</v>
      </c>
      <c r="G90" s="3" t="n">
        <v>2</v>
      </c>
      <c r="H90" s="3" t="n">
        <v>2</v>
      </c>
      <c r="I90" s="3" t="n">
        <v>2</v>
      </c>
      <c r="J90" s="3" t="n">
        <v>4</v>
      </c>
      <c r="K90" s="3" t="n">
        <v>4</v>
      </c>
      <c r="L90" s="3" t="n">
        <v>2</v>
      </c>
      <c r="M90" s="3" t="n">
        <v>2</v>
      </c>
      <c r="N90" s="3">
        <f>F90*$B$5+G90*$B$6+H90*$B$7+I90*$B$8+J90*$B$9+K90*$B$10+L90*$B$11+M90*$B$12</f>
        <v/>
      </c>
      <c r="O90" s="3">
        <f>N90*設定!$B$2</f>
        <v/>
      </c>
      <c r="P90" s="3">
        <f>(D90-E90)*設定!$B$3-O90-((D90-E90)-O90)*設定!$B$4</f>
        <v/>
      </c>
      <c r="Q90" s="3">
        <f>D90*設定!$B$3-O90-(D90-O90)*設定!$B$4</f>
        <v/>
      </c>
      <c r="R90" s="3">
        <f>P90/C90</f>
        <v/>
      </c>
      <c r="S90" s="3">
        <f>Q90/C90</f>
        <v/>
      </c>
    </row>
    <row r="91">
      <c r="A91" t="inlineStr">
        <is>
          <t>S4-J-BT0270318A</t>
        </is>
      </c>
      <c r="B91" t="inlineStr">
        <is>
          <t>2027/03/18</t>
        </is>
      </c>
      <c r="C91" t="n">
        <v>3</v>
      </c>
      <c r="D91" s="3" t="n">
        <v>140700</v>
      </c>
      <c r="E91" s="3" t="n">
        <v>0</v>
      </c>
      <c r="F91" s="3" t="n">
        <v>9</v>
      </c>
      <c r="G91" s="3" t="n">
        <v>3</v>
      </c>
      <c r="H91" s="3" t="n">
        <v>3</v>
      </c>
      <c r="I91" s="3" t="n">
        <v>3</v>
      </c>
      <c r="J91" s="3" t="n">
        <v>6</v>
      </c>
      <c r="K91" s="3" t="n">
        <v>6</v>
      </c>
      <c r="L91" s="3" t="n">
        <v>3</v>
      </c>
      <c r="M91" s="3" t="n">
        <v>3</v>
      </c>
      <c r="N91" s="3">
        <f>F91*$B$5+G91*$B$6+H91*$B$7+I91*$B$8+J91*$B$9+K91*$B$10+L91*$B$11+M91*$B$12</f>
        <v/>
      </c>
      <c r="O91" s="3">
        <f>N91*設定!$B$2</f>
        <v/>
      </c>
      <c r="P91" s="3">
        <f>(D91-E91)*設定!$B$3-O91-((D91-E91)-O91)*設定!$B$4</f>
        <v/>
      </c>
      <c r="Q91" s="3">
        <f>D91*設定!$B$3-O91-(D91-O91)*設定!$B$4</f>
        <v/>
      </c>
      <c r="R91" s="3">
        <f>P91/C91</f>
        <v/>
      </c>
      <c r="S91" s="3">
        <f>Q91/C91</f>
        <v/>
      </c>
    </row>
    <row r="92">
      <c r="A92" t="inlineStr">
        <is>
          <t>S4-J-BT0270324A</t>
        </is>
      </c>
      <c r="B92" t="inlineStr">
        <is>
          <t>2027/03/24</t>
        </is>
      </c>
      <c r="C92" t="n">
        <v>1</v>
      </c>
      <c r="D92" s="3" t="n">
        <v>65900</v>
      </c>
      <c r="E92" s="3" t="n">
        <v>0</v>
      </c>
      <c r="F92" s="3" t="n">
        <v>3</v>
      </c>
      <c r="G92" s="3" t="n">
        <v>1</v>
      </c>
      <c r="H92" s="3" t="n">
        <v>1</v>
      </c>
      <c r="I92" s="3" t="n">
        <v>1</v>
      </c>
      <c r="J92" s="3" t="n">
        <v>2</v>
      </c>
      <c r="K92" s="3" t="n">
        <v>2</v>
      </c>
      <c r="L92" s="3" t="n">
        <v>1</v>
      </c>
      <c r="M92" s="3" t="n">
        <v>1</v>
      </c>
      <c r="N92" s="3">
        <f>F92*$B$5+G92*$B$6+H92*$B$7+I92*$B$8+J92*$B$9+K92*$B$10+L92*$B$11+M92*$B$12</f>
        <v/>
      </c>
      <c r="O92" s="3">
        <f>N92*設定!$B$2</f>
        <v/>
      </c>
      <c r="P92" s="3">
        <f>(D92-E92)*設定!$B$3-O92-((D92-E92)-O92)*設定!$B$4</f>
        <v/>
      </c>
      <c r="Q92" s="3">
        <f>D92*設定!$B$3-O92-(D92-O92)*設定!$B$4</f>
        <v/>
      </c>
      <c r="R92" s="3">
        <f>P92/C92</f>
        <v/>
      </c>
      <c r="S92" s="3">
        <f>Q92/C92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龍平含機票(團號 含A)</t>
        </is>
      </c>
    </row>
    <row r="2">
      <c r="A2" t="inlineStr">
        <is>
          <t>人數</t>
        </is>
      </c>
      <c r="B2">
        <f>SUM(C32:C54)</f>
        <v/>
      </c>
    </row>
    <row r="4">
      <c r="A4" s="2" t="inlineStr">
        <is>
          <t>項目</t>
        </is>
      </c>
      <c r="B4" s="2" t="inlineStr">
        <is>
          <t>單價(韓幣,在設定分頁填)</t>
        </is>
      </c>
      <c r="C4" s="2" t="inlineStr">
        <is>
          <t>數量</t>
        </is>
      </c>
      <c r="D4" s="2" t="inlineStr">
        <is>
          <t>韓幣總價</t>
        </is>
      </c>
      <c r="E4" s="2" t="inlineStr">
        <is>
          <t>台幣總價</t>
        </is>
      </c>
      <c r="F4" s="2" t="inlineStr">
        <is>
          <t>每人數量</t>
        </is>
      </c>
      <c r="G4" s="2" t="inlineStr">
        <is>
          <t>每人台幣</t>
        </is>
      </c>
      <c r="H4" s="2" t="inlineStr">
        <is>
          <t>數量算法</t>
        </is>
      </c>
    </row>
    <row r="5">
      <c r="A5" t="inlineStr">
        <is>
          <t>龍平住宿+早餐</t>
        </is>
      </c>
      <c r="B5" s="3">
        <f>設定!$C$36</f>
        <v/>
      </c>
      <c r="C5" s="3">
        <f>SUM(F32:F54)</f>
        <v/>
      </c>
      <c r="D5" s="3">
        <f>B5*C5</f>
        <v/>
      </c>
      <c r="E5" s="3">
        <f>D5*設定!$B$5</f>
        <v/>
      </c>
      <c r="F5" s="3">
        <f>IF($B$2=0,0,C5/$B$2)</f>
        <v/>
      </c>
      <c r="G5" s="3">
        <f>IF($B$2=0,0,E5/$B$2)</f>
        <v/>
      </c>
      <c r="H5" t="inlineStr">
        <is>
          <t>標準3泊 + 續滑天數(保留市區住宿者不加)</t>
        </is>
      </c>
    </row>
    <row r="6">
      <c r="A6" t="inlineStr">
        <is>
          <t>首爾住宿+早餐</t>
        </is>
      </c>
      <c r="B6" s="3">
        <f>設定!$C$37</f>
        <v/>
      </c>
      <c r="C6" s="3">
        <f>SUM(G32:G54)</f>
        <v/>
      </c>
      <c r="D6" s="3">
        <f>B6*C6</f>
        <v/>
      </c>
      <c r="E6" s="3">
        <f>D6*設定!$B$5</f>
        <v/>
      </c>
      <c r="F6" s="3">
        <f>IF($B$2=0,0,C6/$B$2)</f>
        <v/>
      </c>
      <c r="G6" s="3">
        <f>IF($B$2=0,0,E6/$B$2)</f>
        <v/>
      </c>
      <c r="H6" t="inlineStr">
        <is>
          <t>標準1泊 + 市區續住;取消者標準為0</t>
        </is>
      </c>
    </row>
    <row r="7">
      <c r="A7" t="inlineStr">
        <is>
          <t>交通 機場&gt;雪場</t>
        </is>
      </c>
      <c r="B7" s="3">
        <f>設定!$C$38</f>
        <v/>
      </c>
      <c r="C7" s="3">
        <f>SUM(H32:H54)</f>
        <v/>
      </c>
      <c r="D7" s="3">
        <f>B7*C7</f>
        <v/>
      </c>
      <c r="E7" s="3">
        <f>D7*設定!$B$5</f>
        <v/>
      </c>
      <c r="F7" s="3">
        <f>IF($B$2=0,0,C7/$B$2)</f>
        <v/>
      </c>
      <c r="G7" s="3">
        <f>IF($B$2=0,0,E7/$B$2)</f>
        <v/>
      </c>
      <c r="H7" t="inlineStr">
        <is>
          <t>每人1</t>
        </is>
      </c>
    </row>
    <row r="8">
      <c r="A8" t="inlineStr">
        <is>
          <t>交通 雪場&gt;市區</t>
        </is>
      </c>
      <c r="B8" s="3">
        <f>設定!$C$39</f>
        <v/>
      </c>
      <c r="C8" s="3">
        <f>SUM(I32:I54)</f>
        <v/>
      </c>
      <c r="D8" s="3">
        <f>B8*C8</f>
        <v/>
      </c>
      <c r="E8" s="3">
        <f>D8*設定!$B$5</f>
        <v/>
      </c>
      <c r="F8" s="3">
        <f>IF($B$2=0,0,C8/$B$2)</f>
        <v/>
      </c>
      <c r="G8" s="3">
        <f>IF($B$2=0,0,E8/$B$2)</f>
        <v/>
      </c>
      <c r="H8" t="inlineStr">
        <is>
          <t>每人1</t>
        </is>
      </c>
    </row>
    <row r="9">
      <c r="A9" t="inlineStr">
        <is>
          <t>保護費</t>
        </is>
      </c>
      <c r="B9" s="3">
        <f>設定!$C$40</f>
        <v/>
      </c>
      <c r="C9" s="3">
        <f>SUM(J32:J54)</f>
        <v/>
      </c>
      <c r="D9" s="3">
        <f>B9*C9</f>
        <v/>
      </c>
      <c r="E9" s="3">
        <f>D9*設定!$B$5</f>
        <v/>
      </c>
      <c r="F9" s="3">
        <f>IF($B$2=0,0,C9/$B$2)</f>
        <v/>
      </c>
      <c r="G9" s="3">
        <f>IF($B$2=0,0,E9/$B$2)</f>
        <v/>
      </c>
      <c r="H9" t="inlineStr">
        <is>
          <t>每人1</t>
        </is>
      </c>
    </row>
    <row r="10">
      <c r="A10" t="inlineStr">
        <is>
          <t>三點set+雪票</t>
        </is>
      </c>
      <c r="B10" s="3">
        <f>設定!$C$41</f>
        <v/>
      </c>
      <c r="C10" s="3">
        <f>SUM(K32:K54)</f>
        <v/>
      </c>
      <c r="D10" s="3">
        <f>B10*C10</f>
        <v/>
      </c>
      <c r="E10" s="3">
        <f>D10*設定!$B$5</f>
        <v/>
      </c>
      <c r="F10" s="3">
        <f>IF($B$2=0,0,C10/$B$2)</f>
        <v/>
      </c>
      <c r="G10" s="3">
        <f>IF($B$2=0,0,E10/$B$2)</f>
        <v/>
      </c>
      <c r="H10" t="inlineStr">
        <is>
          <t>標準2日 + 續滑天數</t>
        </is>
      </c>
    </row>
    <row r="11">
      <c r="A11" t="inlineStr">
        <is>
          <t>機票</t>
        </is>
      </c>
      <c r="B11" s="3">
        <f>設定!$C$42</f>
        <v/>
      </c>
      <c r="C11" s="3">
        <f>SUM(L32:L54)</f>
        <v/>
      </c>
      <c r="D11" s="3">
        <f>B11*C11</f>
        <v/>
      </c>
      <c r="E11" s="3">
        <f>D11*設定!$B$5</f>
        <v/>
      </c>
      <c r="F11" s="3">
        <f>IF($B$2=0,0,C11/$B$2)</f>
        <v/>
      </c>
      <c r="G11" s="3">
        <f>IF($B$2=0,0,E11/$B$2)</f>
        <v/>
      </c>
      <c r="H11" t="inlineStr">
        <is>
          <t>每人1</t>
        </is>
      </c>
    </row>
    <row r="12">
      <c r="A12" t="inlineStr">
        <is>
          <t>保險</t>
        </is>
      </c>
      <c r="B12" s="3">
        <f>設定!$C$43</f>
        <v/>
      </c>
      <c r="C12" s="3">
        <f>SUM(M32:M54)</f>
        <v/>
      </c>
      <c r="D12" s="3">
        <f>B12*C12</f>
        <v/>
      </c>
      <c r="E12" s="3">
        <f>D12*設定!$B$5</f>
        <v/>
      </c>
      <c r="F12" s="3">
        <f>IF($B$2=0,0,C12/$B$2)</f>
        <v/>
      </c>
      <c r="G12" s="3">
        <f>IF($B$2=0,0,E12/$B$2)</f>
        <v/>
      </c>
      <c r="H12" t="inlineStr">
        <is>
          <t>每人1</t>
        </is>
      </c>
    </row>
    <row r="13">
      <c r="A13" s="4" t="inlineStr">
        <is>
          <t>總成本</t>
        </is>
      </c>
      <c r="B13" s="3" t="n"/>
      <c r="C13" s="3" t="n"/>
      <c r="D13" s="3">
        <f>SUM(D5:D12)</f>
        <v/>
      </c>
      <c r="E13" s="3">
        <f>SUM(E5:E12)</f>
        <v/>
      </c>
      <c r="F13" s="3" t="n"/>
      <c r="G13" s="3">
        <f>SUM(G5:G12)</f>
        <v/>
      </c>
    </row>
    <row r="14">
      <c r="B14" s="3" t="n"/>
      <c r="C14" s="3" t="n"/>
      <c r="D14" s="3" t="n"/>
      <c r="E14" s="3" t="n"/>
      <c r="F14" s="3" t="n"/>
      <c r="G14" s="3" t="n"/>
    </row>
    <row r="15">
      <c r="A15" s="2" t="inlineStr">
        <is>
          <t>結果(台幣)</t>
        </is>
      </c>
      <c r="B15" s="6" t="inlineStr">
        <is>
          <t>版本一(不計租借收入)</t>
        </is>
      </c>
      <c r="C15" s="6" t="inlineStr">
        <is>
          <t>版本二(含租借收入)</t>
        </is>
      </c>
      <c r="D15" s="3" t="n"/>
      <c r="E15" s="3" t="n"/>
      <c r="F15" s="3" t="n"/>
      <c r="G15" s="3" t="n"/>
    </row>
    <row r="16">
      <c r="A16" t="inlineStr">
        <is>
          <t>總收入(原始團費)</t>
        </is>
      </c>
      <c r="B16" s="3">
        <f>SUM(D32:D54)</f>
        <v/>
      </c>
      <c r="C16" s="3">
        <f>SUM(D32:D54)</f>
        <v/>
      </c>
      <c r="D16" s="3" t="n"/>
      <c r="E16" s="3" t="n"/>
      <c r="F16" s="3" t="n"/>
      <c r="G16" s="3" t="n"/>
    </row>
    <row r="17">
      <c r="A17" t="inlineStr">
        <is>
          <t>租借收入(依租借欄位估算)</t>
        </is>
      </c>
      <c r="B17" s="3">
        <f>SUM(E32:E54)</f>
        <v/>
      </c>
      <c r="C17" s="3">
        <f>SUM(E32:E54)</f>
        <v/>
      </c>
      <c r="D17" s="3" t="n"/>
      <c r="E17" s="3" t="n"/>
      <c r="F17" s="3" t="n"/>
      <c r="G17" s="3" t="n"/>
    </row>
    <row r="18">
      <c r="A18" t="inlineStr">
        <is>
          <t>計入收入</t>
        </is>
      </c>
      <c r="B18" s="3">
        <f>B16-B17</f>
        <v/>
      </c>
      <c r="C18" s="3">
        <f>C16</f>
        <v/>
      </c>
      <c r="D18" s="3" t="n"/>
      <c r="E18" s="3" t="n"/>
      <c r="F18" s="3" t="n"/>
      <c r="G18" s="3" t="n"/>
    </row>
    <row r="19">
      <c r="A19" t="inlineStr">
        <is>
          <t>刷卡後收入(×係數)</t>
        </is>
      </c>
      <c r="B19" s="3">
        <f>B18*設定!$B$3</f>
        <v/>
      </c>
      <c r="C19" s="3">
        <f>C18*設定!$B$3</f>
        <v/>
      </c>
      <c r="D19" s="3" t="n"/>
      <c r="E19" s="3" t="n"/>
      <c r="F19" s="3" t="n"/>
      <c r="G19" s="3" t="n"/>
    </row>
    <row r="20">
      <c r="A20" t="inlineStr">
        <is>
          <t>總成本</t>
        </is>
      </c>
      <c r="B20" s="3">
        <f>$E$13</f>
        <v/>
      </c>
      <c r="C20" s="3">
        <f>$E$13</f>
        <v/>
      </c>
      <c r="D20" s="3" t="n"/>
      <c r="E20" s="3" t="n"/>
      <c r="F20" s="3" t="n"/>
      <c r="G20" s="3" t="n"/>
    </row>
    <row r="21">
      <c r="A21" t="inlineStr">
        <is>
          <t>稅 (計入收入−總成本)×稅率</t>
        </is>
      </c>
      <c r="B21" s="3">
        <f>(B18-B20)*設定!$B$4</f>
        <v/>
      </c>
      <c r="C21" s="3">
        <f>(C18-C20)*設定!$B$4</f>
        <v/>
      </c>
      <c r="D21" s="3" t="n"/>
      <c r="E21" s="3" t="n"/>
      <c r="F21" s="3" t="n"/>
      <c r="G21" s="3" t="n"/>
    </row>
    <row r="22">
      <c r="A22" s="7" t="inlineStr">
        <is>
          <t>最後結果</t>
        </is>
      </c>
      <c r="B22" s="8">
        <f>B19-B20-B21</f>
        <v/>
      </c>
      <c r="C22" s="8">
        <f>C19-C20-C21</f>
        <v/>
      </c>
      <c r="D22" s="3" t="n"/>
      <c r="E22" s="3" t="n"/>
      <c r="F22" s="3" t="n"/>
      <c r="G22" s="3" t="n"/>
    </row>
    <row r="23">
      <c r="A23" t="inlineStr">
        <is>
          <t>每人 計入收入</t>
        </is>
      </c>
      <c r="B23" s="3">
        <f>IF($B$2=0,0,B18/$B$2)</f>
        <v/>
      </c>
      <c r="C23" s="3">
        <f>IF($B$2=0,0,C18/$B$2)</f>
        <v/>
      </c>
      <c r="D23" s="3" t="n"/>
      <c r="E23" s="3" t="n"/>
      <c r="F23" s="3" t="n"/>
      <c r="G23" s="3" t="n"/>
    </row>
    <row r="24">
      <c r="A24" t="inlineStr">
        <is>
          <t>每人 總成本</t>
        </is>
      </c>
      <c r="B24" s="3">
        <f>IF($B$2=0,0,B20/$B$2)</f>
        <v/>
      </c>
      <c r="C24" s="3">
        <f>IF($B$2=0,0,C20/$B$2)</f>
        <v/>
      </c>
      <c r="D24" s="3" t="n"/>
      <c r="E24" s="3" t="n"/>
      <c r="F24" s="3" t="n"/>
      <c r="G24" s="3" t="n"/>
    </row>
    <row r="25">
      <c r="A25" t="inlineStr">
        <is>
          <t>每人 結果</t>
        </is>
      </c>
      <c r="B25" s="3">
        <f>IF($B$2=0,0,B22/$B$2)</f>
        <v/>
      </c>
      <c r="C25" s="3">
        <f>IF($B$2=0,0,C22/$B$2)</f>
        <v/>
      </c>
      <c r="D25" s="3" t="n"/>
      <c r="E25" s="3" t="n"/>
      <c r="F25" s="3" t="n"/>
      <c r="G25" s="3" t="n"/>
    </row>
    <row r="26">
      <c r="B26" s="3" t="n"/>
      <c r="C26" s="3" t="n"/>
      <c r="D26" s="3" t="n"/>
      <c r="E26" s="3" t="n"/>
      <c r="F26" s="3" t="n"/>
      <c r="G26" s="3" t="n"/>
    </row>
    <row r="30">
      <c r="A30" s="4" t="inlineStr">
        <is>
          <t>團別明細(數量來自原始資料;成本用上方單價計算)</t>
        </is>
      </c>
    </row>
    <row r="31">
      <c r="A31" s="2" t="inlineStr">
        <is>
          <t>團號</t>
        </is>
      </c>
      <c r="B31" s="2" t="inlineStr">
        <is>
          <t>出發日</t>
        </is>
      </c>
      <c r="C31" s="2" t="inlineStr">
        <is>
          <t>人數</t>
        </is>
      </c>
      <c r="D31" s="2" t="inlineStr">
        <is>
          <t>總收入</t>
        </is>
      </c>
      <c r="E31" s="2" t="inlineStr">
        <is>
          <t>租借收入(估)</t>
        </is>
      </c>
      <c r="F31" s="2" t="inlineStr">
        <is>
          <t>龍平住宿+早餐</t>
        </is>
      </c>
      <c r="G31" s="2" t="inlineStr">
        <is>
          <t>首爾住宿+早餐</t>
        </is>
      </c>
      <c r="H31" s="2" t="inlineStr">
        <is>
          <t>交通 機場&gt;雪場</t>
        </is>
      </c>
      <c r="I31" s="2" t="inlineStr">
        <is>
          <t>交通 雪場&gt;市區</t>
        </is>
      </c>
      <c r="J31" s="2" t="inlineStr">
        <is>
          <t>保護費</t>
        </is>
      </c>
      <c r="K31" s="2" t="inlineStr">
        <is>
          <t>三點set+雪票</t>
        </is>
      </c>
      <c r="L31" s="2" t="inlineStr">
        <is>
          <t>機票</t>
        </is>
      </c>
      <c r="M31" s="2" t="inlineStr">
        <is>
          <t>保險</t>
        </is>
      </c>
      <c r="N31" s="2" t="inlineStr">
        <is>
          <t>韓幣成本</t>
        </is>
      </c>
      <c r="O31" s="2" t="inlineStr">
        <is>
          <t>台幣成本</t>
        </is>
      </c>
      <c r="P31" s="2" t="inlineStr">
        <is>
          <t>版本一結果</t>
        </is>
      </c>
      <c r="Q31" s="2" t="inlineStr">
        <is>
          <t>版本二結果</t>
        </is>
      </c>
      <c r="R31" s="2" t="inlineStr">
        <is>
          <t>每人 版本一</t>
        </is>
      </c>
      <c r="S31" s="2" t="inlineStr">
        <is>
          <t>每人 版本二</t>
        </is>
      </c>
    </row>
    <row r="32">
      <c r="A32" t="inlineStr">
        <is>
          <t>S4-K-YSA261205A</t>
        </is>
      </c>
      <c r="B32" t="inlineStr">
        <is>
          <t>2026/12/05</t>
        </is>
      </c>
      <c r="C32" t="n">
        <v>2</v>
      </c>
      <c r="D32" s="3" t="n">
        <v>98200</v>
      </c>
      <c r="E32" s="3" t="n">
        <v>6400</v>
      </c>
      <c r="F32" s="3" t="n">
        <v>6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4</v>
      </c>
      <c r="L32" s="3" t="n">
        <v>2</v>
      </c>
      <c r="M32" s="3" t="n">
        <v>2</v>
      </c>
      <c r="N32" s="3">
        <f>F32*$B$5+G32*$B$6+H32*$B$7+I32*$B$8+J32*$B$9+K32*$B$10+L32*$B$11+M32*$B$12</f>
        <v/>
      </c>
      <c r="O32" s="3">
        <f>N32*設定!$B$5</f>
        <v/>
      </c>
      <c r="P32" s="3">
        <f>(D32-E32)*設定!$B$3-O32-((D32-E32)-O32)*設定!$B$4</f>
        <v/>
      </c>
      <c r="Q32" s="3">
        <f>D32*設定!$B$3-O32-(D32-O32)*設定!$B$4</f>
        <v/>
      </c>
      <c r="R32" s="3">
        <f>P32/C32</f>
        <v/>
      </c>
      <c r="S32" s="3">
        <f>Q32/C32</f>
        <v/>
      </c>
    </row>
    <row r="33">
      <c r="A33" t="inlineStr">
        <is>
          <t>S4-K-YSA261207A</t>
        </is>
      </c>
      <c r="B33" t="inlineStr">
        <is>
          <t>2026/12/07</t>
        </is>
      </c>
      <c r="C33" t="n">
        <v>2</v>
      </c>
      <c r="D33" s="3" t="n">
        <v>98200</v>
      </c>
      <c r="E33" s="3" t="n">
        <v>6400</v>
      </c>
      <c r="F33" s="3" t="n">
        <v>6</v>
      </c>
      <c r="G33" s="3" t="n">
        <v>2</v>
      </c>
      <c r="H33" s="3" t="n">
        <v>2</v>
      </c>
      <c r="I33" s="3" t="n">
        <v>2</v>
      </c>
      <c r="J33" s="3" t="n">
        <v>2</v>
      </c>
      <c r="K33" s="3" t="n">
        <v>4</v>
      </c>
      <c r="L33" s="3" t="n">
        <v>2</v>
      </c>
      <c r="M33" s="3" t="n">
        <v>2</v>
      </c>
      <c r="N33" s="3">
        <f>F33*$B$5+G33*$B$6+H33*$B$7+I33*$B$8+J33*$B$9+K33*$B$10+L33*$B$11+M33*$B$12</f>
        <v/>
      </c>
      <c r="O33" s="3">
        <f>N33*設定!$B$5</f>
        <v/>
      </c>
      <c r="P33" s="3">
        <f>(D33-E33)*設定!$B$3-O33-((D33-E33)-O33)*設定!$B$4</f>
        <v/>
      </c>
      <c r="Q33" s="3">
        <f>D33*設定!$B$3-O33-(D33-O33)*設定!$B$4</f>
        <v/>
      </c>
      <c r="R33" s="3">
        <f>P33/C33</f>
        <v/>
      </c>
      <c r="S33" s="3">
        <f>Q33/C33</f>
        <v/>
      </c>
    </row>
    <row r="34">
      <c r="A34" t="inlineStr">
        <is>
          <t>S4-K-YSA261208A</t>
        </is>
      </c>
      <c r="B34" t="inlineStr">
        <is>
          <t>2026/12/08</t>
        </is>
      </c>
      <c r="C34" t="n">
        <v>2</v>
      </c>
      <c r="D34" s="3" t="n">
        <v>93800</v>
      </c>
      <c r="E34" s="3" t="n">
        <v>0</v>
      </c>
      <c r="F34" s="3" t="n">
        <v>6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4</v>
      </c>
      <c r="L34" s="3" t="n">
        <v>2</v>
      </c>
      <c r="M34" s="3" t="n">
        <v>2</v>
      </c>
      <c r="N34" s="3">
        <f>F34*$B$5+G34*$B$6+H34*$B$7+I34*$B$8+J34*$B$9+K34*$B$10+L34*$B$11+M34*$B$12</f>
        <v/>
      </c>
      <c r="O34" s="3">
        <f>N34*設定!$B$5</f>
        <v/>
      </c>
      <c r="P34" s="3">
        <f>(D34-E34)*設定!$B$3-O34-((D34-E34)-O34)*設定!$B$4</f>
        <v/>
      </c>
      <c r="Q34" s="3">
        <f>D34*設定!$B$3-O34-(D34-O34)*設定!$B$4</f>
        <v/>
      </c>
      <c r="R34" s="3">
        <f>P34/C34</f>
        <v/>
      </c>
      <c r="S34" s="3">
        <f>Q34/C34</f>
        <v/>
      </c>
    </row>
    <row r="35">
      <c r="A35" t="inlineStr">
        <is>
          <t>S4-K-YSA261209A</t>
        </is>
      </c>
      <c r="B35" t="inlineStr">
        <is>
          <t>2026/12/09</t>
        </is>
      </c>
      <c r="C35" t="n">
        <v>2</v>
      </c>
      <c r="D35" s="3" t="n">
        <v>95800</v>
      </c>
      <c r="E35" s="3" t="n">
        <v>4000</v>
      </c>
      <c r="F35" s="3" t="n">
        <v>6</v>
      </c>
      <c r="G35" s="3" t="n">
        <v>2</v>
      </c>
      <c r="H35" s="3" t="n">
        <v>2</v>
      </c>
      <c r="I35" s="3" t="n">
        <v>2</v>
      </c>
      <c r="J35" s="3" t="n">
        <v>2</v>
      </c>
      <c r="K35" s="3" t="n">
        <v>4</v>
      </c>
      <c r="L35" s="3" t="n">
        <v>2</v>
      </c>
      <c r="M35" s="3" t="n">
        <v>2</v>
      </c>
      <c r="N35" s="3">
        <f>F35*$B$5+G35*$B$6+H35*$B$7+I35*$B$8+J35*$B$9+K35*$B$10+L35*$B$11+M35*$B$12</f>
        <v/>
      </c>
      <c r="O35" s="3">
        <f>N35*設定!$B$5</f>
        <v/>
      </c>
      <c r="P35" s="3">
        <f>(D35-E35)*設定!$B$3-O35-((D35-E35)-O35)*設定!$B$4</f>
        <v/>
      </c>
      <c r="Q35" s="3">
        <f>D35*設定!$B$3-O35-(D35-O35)*設定!$B$4</f>
        <v/>
      </c>
      <c r="R35" s="3">
        <f>P35/C35</f>
        <v/>
      </c>
      <c r="S35" s="3">
        <f>Q35/C35</f>
        <v/>
      </c>
    </row>
    <row r="36">
      <c r="A36" t="inlineStr">
        <is>
          <t>S4-K-YSA261210A</t>
        </is>
      </c>
      <c r="B36" t="inlineStr">
        <is>
          <t>2026/12/10</t>
        </is>
      </c>
      <c r="C36" t="n">
        <v>4</v>
      </c>
      <c r="D36" s="3" t="n">
        <v>196400</v>
      </c>
      <c r="E36" s="3" t="n">
        <v>12800</v>
      </c>
      <c r="F36" s="3" t="n">
        <v>12</v>
      </c>
      <c r="G36" s="3" t="n">
        <v>4</v>
      </c>
      <c r="H36" s="3" t="n">
        <v>4</v>
      </c>
      <c r="I36" s="3" t="n">
        <v>4</v>
      </c>
      <c r="J36" s="3" t="n">
        <v>4</v>
      </c>
      <c r="K36" s="3" t="n">
        <v>8</v>
      </c>
      <c r="L36" s="3" t="n">
        <v>4</v>
      </c>
      <c r="M36" s="3" t="n">
        <v>4</v>
      </c>
      <c r="N36" s="3">
        <f>F36*$B$5+G36*$B$6+H36*$B$7+I36*$B$8+J36*$B$9+K36*$B$10+L36*$B$11+M36*$B$12</f>
        <v/>
      </c>
      <c r="O36" s="3">
        <f>N36*設定!$B$5</f>
        <v/>
      </c>
      <c r="P36" s="3">
        <f>(D36-E36)*設定!$B$3-O36-((D36-E36)-O36)*設定!$B$4</f>
        <v/>
      </c>
      <c r="Q36" s="3">
        <f>D36*設定!$B$3-O36-(D36-O36)*設定!$B$4</f>
        <v/>
      </c>
      <c r="R36" s="3">
        <f>P36/C36</f>
        <v/>
      </c>
      <c r="S36" s="3">
        <f>Q36/C36</f>
        <v/>
      </c>
    </row>
    <row r="37">
      <c r="A37" t="inlineStr">
        <is>
          <t>S4-K-YSA261211A</t>
        </is>
      </c>
      <c r="B37" t="inlineStr">
        <is>
          <t>2026/12/11</t>
        </is>
      </c>
      <c r="C37" t="n">
        <v>3</v>
      </c>
      <c r="D37" s="3" t="n">
        <v>134700</v>
      </c>
      <c r="E37" s="3" t="n">
        <v>0</v>
      </c>
      <c r="F37" s="3" t="n">
        <v>9</v>
      </c>
      <c r="G37" s="3" t="n">
        <v>3</v>
      </c>
      <c r="H37" s="3" t="n">
        <v>3</v>
      </c>
      <c r="I37" s="3" t="n">
        <v>3</v>
      </c>
      <c r="J37" s="3" t="n">
        <v>3</v>
      </c>
      <c r="K37" s="3" t="n">
        <v>6</v>
      </c>
      <c r="L37" s="3" t="n">
        <v>3</v>
      </c>
      <c r="M37" s="3" t="n">
        <v>3</v>
      </c>
      <c r="N37" s="3">
        <f>F37*$B$5+G37*$B$6+H37*$B$7+I37*$B$8+J37*$B$9+K37*$B$10+L37*$B$11+M37*$B$12</f>
        <v/>
      </c>
      <c r="O37" s="3">
        <f>N37*設定!$B$5</f>
        <v/>
      </c>
      <c r="P37" s="3">
        <f>(D37-E37)*設定!$B$3-O37-((D37-E37)-O37)*設定!$B$4</f>
        <v/>
      </c>
      <c r="Q37" s="3">
        <f>D37*設定!$B$3-O37-(D37-O37)*設定!$B$4</f>
        <v/>
      </c>
      <c r="R37" s="3">
        <f>P37/C37</f>
        <v/>
      </c>
      <c r="S37" s="3">
        <f>Q37/C37</f>
        <v/>
      </c>
    </row>
    <row r="38">
      <c r="A38" t="inlineStr">
        <is>
          <t>S4-K-YSA261212A</t>
        </is>
      </c>
      <c r="B38" t="inlineStr">
        <is>
          <t>2026/12/12</t>
        </is>
      </c>
      <c r="C38" t="n">
        <v>4</v>
      </c>
      <c r="D38" s="3" t="n">
        <v>196400</v>
      </c>
      <c r="E38" s="3" t="n">
        <v>12800</v>
      </c>
      <c r="F38" s="3" t="n">
        <v>12</v>
      </c>
      <c r="G38" s="3" t="n">
        <v>4</v>
      </c>
      <c r="H38" s="3" t="n">
        <v>4</v>
      </c>
      <c r="I38" s="3" t="n">
        <v>4</v>
      </c>
      <c r="J38" s="3" t="n">
        <v>4</v>
      </c>
      <c r="K38" s="3" t="n">
        <v>8</v>
      </c>
      <c r="L38" s="3" t="n">
        <v>4</v>
      </c>
      <c r="M38" s="3" t="n">
        <v>4</v>
      </c>
      <c r="N38" s="3">
        <f>F38*$B$5+G38*$B$6+H38*$B$7+I38*$B$8+J38*$B$9+K38*$B$10+L38*$B$11+M38*$B$12</f>
        <v/>
      </c>
      <c r="O38" s="3">
        <f>N38*設定!$B$5</f>
        <v/>
      </c>
      <c r="P38" s="3">
        <f>(D38-E38)*設定!$B$3-O38-((D38-E38)-O38)*設定!$B$4</f>
        <v/>
      </c>
      <c r="Q38" s="3">
        <f>D38*設定!$B$3-O38-(D38-O38)*設定!$B$4</f>
        <v/>
      </c>
      <c r="R38" s="3">
        <f>P38/C38</f>
        <v/>
      </c>
      <c r="S38" s="3">
        <f>Q38/C38</f>
        <v/>
      </c>
    </row>
    <row r="39">
      <c r="A39" t="inlineStr">
        <is>
          <t>S4-K-YSA261213A</t>
        </is>
      </c>
      <c r="B39" t="inlineStr">
        <is>
          <t>2026/12/13</t>
        </is>
      </c>
      <c r="C39" t="n">
        <v>2</v>
      </c>
      <c r="D39" s="3" t="n">
        <v>93600</v>
      </c>
      <c r="E39" s="3" t="n">
        <v>2800</v>
      </c>
      <c r="F39" s="3" t="n">
        <v>6</v>
      </c>
      <c r="G39" s="3" t="n">
        <v>2</v>
      </c>
      <c r="H39" s="3" t="n">
        <v>2</v>
      </c>
      <c r="I39" s="3" t="n">
        <v>2</v>
      </c>
      <c r="J39" s="3" t="n">
        <v>2</v>
      </c>
      <c r="K39" s="3" t="n">
        <v>4</v>
      </c>
      <c r="L39" s="3" t="n">
        <v>2</v>
      </c>
      <c r="M39" s="3" t="n">
        <v>2</v>
      </c>
      <c r="N39" s="3">
        <f>F39*$B$5+G39*$B$6+H39*$B$7+I39*$B$8+J39*$B$9+K39*$B$10+L39*$B$11+M39*$B$12</f>
        <v/>
      </c>
      <c r="O39" s="3">
        <f>N39*設定!$B$5</f>
        <v/>
      </c>
      <c r="P39" s="3">
        <f>(D39-E39)*設定!$B$3-O39-((D39-E39)-O39)*設定!$B$4</f>
        <v/>
      </c>
      <c r="Q39" s="3">
        <f>D39*設定!$B$3-O39-(D39-O39)*設定!$B$4</f>
        <v/>
      </c>
      <c r="R39" s="3">
        <f>P39/C39</f>
        <v/>
      </c>
      <c r="S39" s="3">
        <f>Q39/C39</f>
        <v/>
      </c>
    </row>
    <row r="40">
      <c r="A40" t="inlineStr">
        <is>
          <t>S4-K-YSA261215A</t>
        </is>
      </c>
      <c r="B40" t="inlineStr">
        <is>
          <t>2026/12/15</t>
        </is>
      </c>
      <c r="C40" t="n">
        <v>5</v>
      </c>
      <c r="D40" s="3" t="n">
        <v>239100</v>
      </c>
      <c r="E40" s="3" t="n">
        <v>13600</v>
      </c>
      <c r="F40" s="3" t="n">
        <v>15</v>
      </c>
      <c r="G40" s="3" t="n">
        <v>5</v>
      </c>
      <c r="H40" s="3" t="n">
        <v>5</v>
      </c>
      <c r="I40" s="3" t="n">
        <v>5</v>
      </c>
      <c r="J40" s="3" t="n">
        <v>5</v>
      </c>
      <c r="K40" s="3" t="n">
        <v>10</v>
      </c>
      <c r="L40" s="3" t="n">
        <v>5</v>
      </c>
      <c r="M40" s="3" t="n">
        <v>5</v>
      </c>
      <c r="N40" s="3">
        <f>F40*$B$5+G40*$B$6+H40*$B$7+I40*$B$8+J40*$B$9+K40*$B$10+L40*$B$11+M40*$B$12</f>
        <v/>
      </c>
      <c r="O40" s="3">
        <f>N40*設定!$B$5</f>
        <v/>
      </c>
      <c r="P40" s="3">
        <f>(D40-E40)*設定!$B$3-O40-((D40-E40)-O40)*設定!$B$4</f>
        <v/>
      </c>
      <c r="Q40" s="3">
        <f>D40*設定!$B$3-O40-(D40-O40)*設定!$B$4</f>
        <v/>
      </c>
      <c r="R40" s="3">
        <f>P40/C40</f>
        <v/>
      </c>
      <c r="S40" s="3">
        <f>Q40/C40</f>
        <v/>
      </c>
    </row>
    <row r="41">
      <c r="A41" t="inlineStr">
        <is>
          <t>S4-K-YSA261216A</t>
        </is>
      </c>
      <c r="B41" t="inlineStr">
        <is>
          <t>2026/12/16</t>
        </is>
      </c>
      <c r="C41" t="n">
        <v>6</v>
      </c>
      <c r="D41" s="3" t="n">
        <v>285800</v>
      </c>
      <c r="E41" s="3" t="n">
        <v>12400</v>
      </c>
      <c r="F41" s="3" t="n">
        <v>18</v>
      </c>
      <c r="G41" s="3" t="n">
        <v>6</v>
      </c>
      <c r="H41" s="3" t="n">
        <v>6</v>
      </c>
      <c r="I41" s="3" t="n">
        <v>6</v>
      </c>
      <c r="J41" s="3" t="n">
        <v>6</v>
      </c>
      <c r="K41" s="3" t="n">
        <v>12</v>
      </c>
      <c r="L41" s="3" t="n">
        <v>6</v>
      </c>
      <c r="M41" s="3" t="n">
        <v>6</v>
      </c>
      <c r="N41" s="3">
        <f>F41*$B$5+G41*$B$6+H41*$B$7+I41*$B$8+J41*$B$9+K41*$B$10+L41*$B$11+M41*$B$12</f>
        <v/>
      </c>
      <c r="O41" s="3">
        <f>N41*設定!$B$5</f>
        <v/>
      </c>
      <c r="P41" s="3">
        <f>(D41-E41)*設定!$B$3-O41-((D41-E41)-O41)*設定!$B$4</f>
        <v/>
      </c>
      <c r="Q41" s="3">
        <f>D41*設定!$B$3-O41-(D41-O41)*設定!$B$4</f>
        <v/>
      </c>
      <c r="R41" s="3">
        <f>P41/C41</f>
        <v/>
      </c>
      <c r="S41" s="3">
        <f>Q41/C41</f>
        <v/>
      </c>
    </row>
    <row r="42">
      <c r="A42" t="inlineStr">
        <is>
          <t>S4-K-YSA261217A</t>
        </is>
      </c>
      <c r="B42" t="inlineStr">
        <is>
          <t>2026/12/17</t>
        </is>
      </c>
      <c r="C42" t="n">
        <v>4</v>
      </c>
      <c r="D42" s="3" t="n">
        <v>196400</v>
      </c>
      <c r="E42" s="3" t="n">
        <v>12800</v>
      </c>
      <c r="F42" s="3" t="n">
        <v>12</v>
      </c>
      <c r="G42" s="3" t="n">
        <v>4</v>
      </c>
      <c r="H42" s="3" t="n">
        <v>4</v>
      </c>
      <c r="I42" s="3" t="n">
        <v>4</v>
      </c>
      <c r="J42" s="3" t="n">
        <v>4</v>
      </c>
      <c r="K42" s="3" t="n">
        <v>8</v>
      </c>
      <c r="L42" s="3" t="n">
        <v>4</v>
      </c>
      <c r="M42" s="3" t="n">
        <v>4</v>
      </c>
      <c r="N42" s="3">
        <f>F42*$B$5+G42*$B$6+H42*$B$7+I42*$B$8+J42*$B$9+K42*$B$10+L42*$B$11+M42*$B$12</f>
        <v/>
      </c>
      <c r="O42" s="3">
        <f>N42*設定!$B$5</f>
        <v/>
      </c>
      <c r="P42" s="3">
        <f>(D42-E42)*設定!$B$3-O42-((D42-E42)-O42)*設定!$B$4</f>
        <v/>
      </c>
      <c r="Q42" s="3">
        <f>D42*設定!$B$3-O42-(D42-O42)*設定!$B$4</f>
        <v/>
      </c>
      <c r="R42" s="3">
        <f>P42/C42</f>
        <v/>
      </c>
      <c r="S42" s="3">
        <f>Q42/C42</f>
        <v/>
      </c>
    </row>
    <row r="43">
      <c r="A43" t="inlineStr">
        <is>
          <t>S4-K-YSA261218A</t>
        </is>
      </c>
      <c r="B43" t="inlineStr">
        <is>
          <t>2026/12/18</t>
        </is>
      </c>
      <c r="C43" t="n">
        <v>3</v>
      </c>
      <c r="D43" s="3" t="n">
        <v>141700</v>
      </c>
      <c r="E43" s="3" t="n">
        <v>4000</v>
      </c>
      <c r="F43" s="3" t="n">
        <v>9</v>
      </c>
      <c r="G43" s="3" t="n">
        <v>3</v>
      </c>
      <c r="H43" s="3" t="n">
        <v>3</v>
      </c>
      <c r="I43" s="3" t="n">
        <v>3</v>
      </c>
      <c r="J43" s="3" t="n">
        <v>3</v>
      </c>
      <c r="K43" s="3" t="n">
        <v>6</v>
      </c>
      <c r="L43" s="3" t="n">
        <v>3</v>
      </c>
      <c r="M43" s="3" t="n">
        <v>3</v>
      </c>
      <c r="N43" s="3">
        <f>F43*$B$5+G43*$B$6+H43*$B$7+I43*$B$8+J43*$B$9+K43*$B$10+L43*$B$11+M43*$B$12</f>
        <v/>
      </c>
      <c r="O43" s="3">
        <f>N43*設定!$B$5</f>
        <v/>
      </c>
      <c r="P43" s="3">
        <f>(D43-E43)*設定!$B$3-O43-((D43-E43)-O43)*設定!$B$4</f>
        <v/>
      </c>
      <c r="Q43" s="3">
        <f>D43*設定!$B$3-O43-(D43-O43)*設定!$B$4</f>
        <v/>
      </c>
      <c r="R43" s="3">
        <f>P43/C43</f>
        <v/>
      </c>
      <c r="S43" s="3">
        <f>Q43/C43</f>
        <v/>
      </c>
    </row>
    <row r="44">
      <c r="A44" t="inlineStr">
        <is>
          <t>S4-K-YSA270106A</t>
        </is>
      </c>
      <c r="B44" t="inlineStr">
        <is>
          <t>2027/01/06</t>
        </is>
      </c>
      <c r="C44" t="n">
        <v>5</v>
      </c>
      <c r="D44" s="3" t="n">
        <v>254500</v>
      </c>
      <c r="E44" s="3" t="n">
        <v>6000</v>
      </c>
      <c r="F44" s="3" t="n">
        <v>15</v>
      </c>
      <c r="G44" s="3" t="n">
        <v>5</v>
      </c>
      <c r="H44" s="3" t="n">
        <v>5</v>
      </c>
      <c r="I44" s="3" t="n">
        <v>5</v>
      </c>
      <c r="J44" s="3" t="n">
        <v>5</v>
      </c>
      <c r="K44" s="3" t="n">
        <v>10</v>
      </c>
      <c r="L44" s="3" t="n">
        <v>5</v>
      </c>
      <c r="M44" s="3" t="n">
        <v>5</v>
      </c>
      <c r="N44" s="3">
        <f>F44*$B$5+G44*$B$6+H44*$B$7+I44*$B$8+J44*$B$9+K44*$B$10+L44*$B$11+M44*$B$12</f>
        <v/>
      </c>
      <c r="O44" s="3">
        <f>N44*設定!$B$5</f>
        <v/>
      </c>
      <c r="P44" s="3">
        <f>(D44-E44)*設定!$B$3-O44-((D44-E44)-O44)*設定!$B$4</f>
        <v/>
      </c>
      <c r="Q44" s="3">
        <f>D44*設定!$B$3-O44-(D44-O44)*設定!$B$4</f>
        <v/>
      </c>
      <c r="R44" s="3">
        <f>P44/C44</f>
        <v/>
      </c>
      <c r="S44" s="3">
        <f>Q44/C44</f>
        <v/>
      </c>
    </row>
    <row r="45">
      <c r="A45" t="inlineStr">
        <is>
          <t>S4-K-YSA270108A</t>
        </is>
      </c>
      <c r="B45" t="inlineStr">
        <is>
          <t>2027/01/08</t>
        </is>
      </c>
      <c r="C45" t="n">
        <v>2</v>
      </c>
      <c r="D45" s="3" t="n">
        <v>102800</v>
      </c>
      <c r="E45" s="3" t="n">
        <v>0</v>
      </c>
      <c r="F45" s="3" t="n">
        <v>6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4</v>
      </c>
      <c r="L45" s="3" t="n">
        <v>2</v>
      </c>
      <c r="M45" s="3" t="n">
        <v>2</v>
      </c>
      <c r="N45" s="3">
        <f>F45*$B$5+G45*$B$6+H45*$B$7+I45*$B$8+J45*$B$9+K45*$B$10+L45*$B$11+M45*$B$12</f>
        <v/>
      </c>
      <c r="O45" s="3">
        <f>N45*設定!$B$5</f>
        <v/>
      </c>
      <c r="P45" s="3">
        <f>(D45-E45)*設定!$B$3-O45-((D45-E45)-O45)*設定!$B$4</f>
        <v/>
      </c>
      <c r="Q45" s="3">
        <f>D45*設定!$B$3-O45-(D45-O45)*設定!$B$4</f>
        <v/>
      </c>
      <c r="R45" s="3">
        <f>P45/C45</f>
        <v/>
      </c>
      <c r="S45" s="3">
        <f>Q45/C45</f>
        <v/>
      </c>
    </row>
    <row r="46">
      <c r="A46" t="inlineStr">
        <is>
          <t>S4-K-YSA270109A</t>
        </is>
      </c>
      <c r="B46" t="inlineStr">
        <is>
          <t>2027/01/09</t>
        </is>
      </c>
      <c r="C46" t="n">
        <v>5</v>
      </c>
      <c r="D46" s="3" t="n">
        <v>266900</v>
      </c>
      <c r="E46" s="3" t="n">
        <v>6400</v>
      </c>
      <c r="F46" s="3" t="n">
        <v>15</v>
      </c>
      <c r="G46" s="3" t="n">
        <v>5</v>
      </c>
      <c r="H46" s="3" t="n">
        <v>5</v>
      </c>
      <c r="I46" s="3" t="n">
        <v>5</v>
      </c>
      <c r="J46" s="3" t="n">
        <v>5</v>
      </c>
      <c r="K46" s="3" t="n">
        <v>10</v>
      </c>
      <c r="L46" s="3" t="n">
        <v>5</v>
      </c>
      <c r="M46" s="3" t="n">
        <v>5</v>
      </c>
      <c r="N46" s="3">
        <f>F46*$B$5+G46*$B$6+H46*$B$7+I46*$B$8+J46*$B$9+K46*$B$10+L46*$B$11+M46*$B$12</f>
        <v/>
      </c>
      <c r="O46" s="3">
        <f>N46*設定!$B$5</f>
        <v/>
      </c>
      <c r="P46" s="3">
        <f>(D46-E46)*設定!$B$3-O46-((D46-E46)-O46)*設定!$B$4</f>
        <v/>
      </c>
      <c r="Q46" s="3">
        <f>D46*設定!$B$3-O46-(D46-O46)*設定!$B$4</f>
        <v/>
      </c>
      <c r="R46" s="3">
        <f>P46/C46</f>
        <v/>
      </c>
      <c r="S46" s="3">
        <f>Q46/C46</f>
        <v/>
      </c>
    </row>
    <row r="47">
      <c r="A47" t="inlineStr">
        <is>
          <t>S4-K-YSA270116A</t>
        </is>
      </c>
      <c r="B47" t="inlineStr">
        <is>
          <t>2027/01/16</t>
        </is>
      </c>
      <c r="C47" t="n">
        <v>5</v>
      </c>
      <c r="D47" s="3" t="n">
        <v>255726</v>
      </c>
      <c r="E47" s="3" t="n">
        <v>5200</v>
      </c>
      <c r="F47" s="3" t="n">
        <v>15</v>
      </c>
      <c r="G47" s="3" t="n">
        <v>5</v>
      </c>
      <c r="H47" s="3" t="n">
        <v>5</v>
      </c>
      <c r="I47" s="3" t="n">
        <v>5</v>
      </c>
      <c r="J47" s="3" t="n">
        <v>5</v>
      </c>
      <c r="K47" s="3" t="n">
        <v>10</v>
      </c>
      <c r="L47" s="3" t="n">
        <v>5</v>
      </c>
      <c r="M47" s="3" t="n">
        <v>5</v>
      </c>
      <c r="N47" s="3">
        <f>F47*$B$5+G47*$B$6+H47*$B$7+I47*$B$8+J47*$B$9+K47*$B$10+L47*$B$11+M47*$B$12</f>
        <v/>
      </c>
      <c r="O47" s="3">
        <f>N47*設定!$B$5</f>
        <v/>
      </c>
      <c r="P47" s="3">
        <f>(D47-E47)*設定!$B$3-O47-((D47-E47)-O47)*設定!$B$4</f>
        <v/>
      </c>
      <c r="Q47" s="3">
        <f>D47*設定!$B$3-O47-(D47-O47)*設定!$B$4</f>
        <v/>
      </c>
      <c r="R47" s="3">
        <f>P47/C47</f>
        <v/>
      </c>
      <c r="S47" s="3">
        <f>Q47/C47</f>
        <v/>
      </c>
    </row>
    <row r="48">
      <c r="A48" t="inlineStr">
        <is>
          <t>S4-K-YSA270117A</t>
        </is>
      </c>
      <c r="B48" t="inlineStr">
        <is>
          <t>2027/01/17</t>
        </is>
      </c>
      <c r="C48" t="n">
        <v>2</v>
      </c>
      <c r="D48" s="3" t="n">
        <v>106200</v>
      </c>
      <c r="E48" s="3" t="n">
        <v>6400</v>
      </c>
      <c r="F48" s="3" t="n">
        <v>6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4</v>
      </c>
      <c r="L48" s="3" t="n">
        <v>2</v>
      </c>
      <c r="M48" s="3" t="n">
        <v>2</v>
      </c>
      <c r="N48" s="3">
        <f>F48*$B$5+G48*$B$6+H48*$B$7+I48*$B$8+J48*$B$9+K48*$B$10+L48*$B$11+M48*$B$12</f>
        <v/>
      </c>
      <c r="O48" s="3">
        <f>N48*設定!$B$5</f>
        <v/>
      </c>
      <c r="P48" s="3">
        <f>(D48-E48)*設定!$B$3-O48-((D48-E48)-O48)*設定!$B$4</f>
        <v/>
      </c>
      <c r="Q48" s="3">
        <f>D48*設定!$B$3-O48-(D48-O48)*設定!$B$4</f>
        <v/>
      </c>
      <c r="R48" s="3">
        <f>P48/C48</f>
        <v/>
      </c>
      <c r="S48" s="3">
        <f>Q48/C48</f>
        <v/>
      </c>
    </row>
    <row r="49">
      <c r="A49" t="inlineStr">
        <is>
          <t>S4-K-YSA270120A</t>
        </is>
      </c>
      <c r="B49" t="inlineStr">
        <is>
          <t>2027/01/20</t>
        </is>
      </c>
      <c r="C49" t="n">
        <v>2</v>
      </c>
      <c r="D49" s="3" t="n">
        <v>99800</v>
      </c>
      <c r="E49" s="3" t="n">
        <v>0</v>
      </c>
      <c r="F49" s="3" t="n">
        <v>6</v>
      </c>
      <c r="G49" s="3" t="n">
        <v>2</v>
      </c>
      <c r="H49" s="3" t="n">
        <v>2</v>
      </c>
      <c r="I49" s="3" t="n">
        <v>2</v>
      </c>
      <c r="J49" s="3" t="n">
        <v>2</v>
      </c>
      <c r="K49" s="3" t="n">
        <v>4</v>
      </c>
      <c r="L49" s="3" t="n">
        <v>2</v>
      </c>
      <c r="M49" s="3" t="n">
        <v>2</v>
      </c>
      <c r="N49" s="3">
        <f>F49*$B$5+G49*$B$6+H49*$B$7+I49*$B$8+J49*$B$9+K49*$B$10+L49*$B$11+M49*$B$12</f>
        <v/>
      </c>
      <c r="O49" s="3">
        <f>N49*設定!$B$5</f>
        <v/>
      </c>
      <c r="P49" s="3">
        <f>(D49-E49)*設定!$B$3-O49-((D49-E49)-O49)*設定!$B$4</f>
        <v/>
      </c>
      <c r="Q49" s="3">
        <f>D49*設定!$B$3-O49-(D49-O49)*設定!$B$4</f>
        <v/>
      </c>
      <c r="R49" s="3">
        <f>P49/C49</f>
        <v/>
      </c>
      <c r="S49" s="3">
        <f>Q49/C49</f>
        <v/>
      </c>
    </row>
    <row r="50">
      <c r="A50" t="inlineStr">
        <is>
          <t>S4-K-YSA270213A</t>
        </is>
      </c>
      <c r="B50" t="inlineStr">
        <is>
          <t>2027/02/13</t>
        </is>
      </c>
      <c r="C50" t="n">
        <v>5</v>
      </c>
      <c r="D50" s="3" t="n">
        <v>268000</v>
      </c>
      <c r="E50" s="3" t="n">
        <v>0</v>
      </c>
      <c r="F50" s="3" t="n">
        <v>15</v>
      </c>
      <c r="G50" s="3" t="n">
        <v>5</v>
      </c>
      <c r="H50" s="3" t="n">
        <v>5</v>
      </c>
      <c r="I50" s="3" t="n">
        <v>5</v>
      </c>
      <c r="J50" s="3" t="n">
        <v>5</v>
      </c>
      <c r="K50" s="3" t="n">
        <v>10</v>
      </c>
      <c r="L50" s="3" t="n">
        <v>5</v>
      </c>
      <c r="M50" s="3" t="n">
        <v>5</v>
      </c>
      <c r="N50" s="3">
        <f>F50*$B$5+G50*$B$6+H50*$B$7+I50*$B$8+J50*$B$9+K50*$B$10+L50*$B$11+M50*$B$12</f>
        <v/>
      </c>
      <c r="O50" s="3">
        <f>N50*設定!$B$5</f>
        <v/>
      </c>
      <c r="P50" s="3">
        <f>(D50-E50)*設定!$B$3-O50-((D50-E50)-O50)*設定!$B$4</f>
        <v/>
      </c>
      <c r="Q50" s="3">
        <f>D50*設定!$B$3-O50-(D50-O50)*設定!$B$4</f>
        <v/>
      </c>
      <c r="R50" s="3">
        <f>P50/C50</f>
        <v/>
      </c>
      <c r="S50" s="3">
        <f>Q50/C50</f>
        <v/>
      </c>
    </row>
    <row r="51">
      <c r="A51" t="inlineStr">
        <is>
          <t>S4-K-YSA270304A</t>
        </is>
      </c>
      <c r="B51" t="inlineStr">
        <is>
          <t>2027/03/04</t>
        </is>
      </c>
      <c r="C51" t="n">
        <v>12</v>
      </c>
      <c r="D51" s="3" t="n">
        <v>544800</v>
      </c>
      <c r="E51" s="3" t="n">
        <v>0</v>
      </c>
      <c r="F51" s="3" t="n">
        <v>36</v>
      </c>
      <c r="G51" s="3" t="n">
        <v>12</v>
      </c>
      <c r="H51" s="3" t="n">
        <v>12</v>
      </c>
      <c r="I51" s="3" t="n">
        <v>12</v>
      </c>
      <c r="J51" s="3" t="n">
        <v>12</v>
      </c>
      <c r="K51" s="3" t="n">
        <v>24</v>
      </c>
      <c r="L51" s="3" t="n">
        <v>12</v>
      </c>
      <c r="M51" s="3" t="n">
        <v>12</v>
      </c>
      <c r="N51" s="3">
        <f>F51*$B$5+G51*$B$6+H51*$B$7+I51*$B$8+J51*$B$9+K51*$B$10+L51*$B$11+M51*$B$12</f>
        <v/>
      </c>
      <c r="O51" s="3">
        <f>N51*設定!$B$5</f>
        <v/>
      </c>
      <c r="P51" s="3">
        <f>(D51-E51)*設定!$B$3-O51-((D51-E51)-O51)*設定!$B$4</f>
        <v/>
      </c>
      <c r="Q51" s="3">
        <f>D51*設定!$B$3-O51-(D51-O51)*設定!$B$4</f>
        <v/>
      </c>
      <c r="R51" s="3">
        <f>P51/C51</f>
        <v/>
      </c>
      <c r="S51" s="3">
        <f>Q51/C51</f>
        <v/>
      </c>
    </row>
    <row r="52">
      <c r="A52" t="inlineStr">
        <is>
          <t>S4-K-YSA270307A</t>
        </is>
      </c>
      <c r="B52" t="inlineStr">
        <is>
          <t>2027/03/07</t>
        </is>
      </c>
      <c r="C52" t="n">
        <v>3</v>
      </c>
      <c r="D52" s="3" t="n">
        <v>134700</v>
      </c>
      <c r="E52" s="3" t="n">
        <v>0</v>
      </c>
      <c r="F52" s="3" t="n">
        <v>9</v>
      </c>
      <c r="G52" s="3" t="n">
        <v>3</v>
      </c>
      <c r="H52" s="3" t="n">
        <v>3</v>
      </c>
      <c r="I52" s="3" t="n">
        <v>3</v>
      </c>
      <c r="J52" s="3" t="n">
        <v>3</v>
      </c>
      <c r="K52" s="3" t="n">
        <v>6</v>
      </c>
      <c r="L52" s="3" t="n">
        <v>3</v>
      </c>
      <c r="M52" s="3" t="n">
        <v>3</v>
      </c>
      <c r="N52" s="3">
        <f>F52*$B$5+G52*$B$6+H52*$B$7+I52*$B$8+J52*$B$9+K52*$B$10+L52*$B$11+M52*$B$12</f>
        <v/>
      </c>
      <c r="O52" s="3">
        <f>N52*設定!$B$5</f>
        <v/>
      </c>
      <c r="P52" s="3">
        <f>(D52-E52)*設定!$B$3-O52-((D52-E52)-O52)*設定!$B$4</f>
        <v/>
      </c>
      <c r="Q52" s="3">
        <f>D52*設定!$B$3-O52-(D52-O52)*設定!$B$4</f>
        <v/>
      </c>
      <c r="R52" s="3">
        <f>P52/C52</f>
        <v/>
      </c>
      <c r="S52" s="3">
        <f>Q52/C52</f>
        <v/>
      </c>
    </row>
    <row r="53">
      <c r="A53" t="inlineStr">
        <is>
          <t>S4-K-YSA270311A</t>
        </is>
      </c>
      <c r="B53" t="inlineStr">
        <is>
          <t>2027/03/11</t>
        </is>
      </c>
      <c r="C53" t="n">
        <v>2</v>
      </c>
      <c r="D53" s="3" t="n">
        <v>91800</v>
      </c>
      <c r="E53" s="3" t="n">
        <v>0</v>
      </c>
      <c r="F53" s="3" t="n">
        <v>6</v>
      </c>
      <c r="G53" s="3" t="n">
        <v>2</v>
      </c>
      <c r="H53" s="3" t="n">
        <v>2</v>
      </c>
      <c r="I53" s="3" t="n">
        <v>2</v>
      </c>
      <c r="J53" s="3" t="n">
        <v>2</v>
      </c>
      <c r="K53" s="3" t="n">
        <v>4</v>
      </c>
      <c r="L53" s="3" t="n">
        <v>2</v>
      </c>
      <c r="M53" s="3" t="n">
        <v>2</v>
      </c>
      <c r="N53" s="3">
        <f>F53*$B$5+G53*$B$6+H53*$B$7+I53*$B$8+J53*$B$9+K53*$B$10+L53*$B$11+M53*$B$12</f>
        <v/>
      </c>
      <c r="O53" s="3">
        <f>N53*設定!$B$5</f>
        <v/>
      </c>
      <c r="P53" s="3">
        <f>(D53-E53)*設定!$B$3-O53-((D53-E53)-O53)*設定!$B$4</f>
        <v/>
      </c>
      <c r="Q53" s="3">
        <f>D53*設定!$B$3-O53-(D53-O53)*設定!$B$4</f>
        <v/>
      </c>
      <c r="R53" s="3">
        <f>P53/C53</f>
        <v/>
      </c>
      <c r="S53" s="3">
        <f>Q53/C53</f>
        <v/>
      </c>
    </row>
    <row r="54">
      <c r="A54" t="inlineStr">
        <is>
          <t>S4-K-YSA270318A</t>
        </is>
      </c>
      <c r="B54" t="inlineStr">
        <is>
          <t>2027/03/18</t>
        </is>
      </c>
      <c r="C54" t="n">
        <v>2</v>
      </c>
      <c r="D54" s="3" t="n">
        <v>91800</v>
      </c>
      <c r="E54" s="3" t="n">
        <v>0</v>
      </c>
      <c r="F54" s="3" t="n">
        <v>6</v>
      </c>
      <c r="G54" s="3" t="n">
        <v>2</v>
      </c>
      <c r="H54" s="3" t="n">
        <v>2</v>
      </c>
      <c r="I54" s="3" t="n">
        <v>2</v>
      </c>
      <c r="J54" s="3" t="n">
        <v>2</v>
      </c>
      <c r="K54" s="3" t="n">
        <v>4</v>
      </c>
      <c r="L54" s="3" t="n">
        <v>2</v>
      </c>
      <c r="M54" s="3" t="n">
        <v>2</v>
      </c>
      <c r="N54" s="3">
        <f>F54*$B$5+G54*$B$6+H54*$B$7+I54*$B$8+J54*$B$9+K54*$B$10+L54*$B$11+M54*$B$12</f>
        <v/>
      </c>
      <c r="O54" s="3">
        <f>N54*設定!$B$5</f>
        <v/>
      </c>
      <c r="P54" s="3">
        <f>(D54-E54)*設定!$B$3-O54-((D54-E54)-O54)*設定!$B$4</f>
        <v/>
      </c>
      <c r="Q54" s="3">
        <f>D54*設定!$B$3-O54-(D54-O54)*設定!$B$4</f>
        <v/>
      </c>
      <c r="R54" s="3">
        <f>P54/C54</f>
        <v/>
      </c>
      <c r="S54" s="3">
        <f>Q54/C54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龍平不含機票(團號 無A)</t>
        </is>
      </c>
    </row>
    <row r="2">
      <c r="A2" t="inlineStr">
        <is>
          <t>人數</t>
        </is>
      </c>
      <c r="B2">
        <f>SUM(C31:C102)</f>
        <v/>
      </c>
    </row>
    <row r="4">
      <c r="A4" s="2" t="inlineStr">
        <is>
          <t>項目</t>
        </is>
      </c>
      <c r="B4" s="2" t="inlineStr">
        <is>
          <t>單價(韓幣,在設定分頁填)</t>
        </is>
      </c>
      <c r="C4" s="2" t="inlineStr">
        <is>
          <t>數量</t>
        </is>
      </c>
      <c r="D4" s="2" t="inlineStr">
        <is>
          <t>韓幣總價</t>
        </is>
      </c>
      <c r="E4" s="2" t="inlineStr">
        <is>
          <t>台幣總價</t>
        </is>
      </c>
      <c r="F4" s="2" t="inlineStr">
        <is>
          <t>每人數量</t>
        </is>
      </c>
      <c r="G4" s="2" t="inlineStr">
        <is>
          <t>每人台幣</t>
        </is>
      </c>
      <c r="H4" s="2" t="inlineStr">
        <is>
          <t>數量算法</t>
        </is>
      </c>
    </row>
    <row r="5">
      <c r="A5" t="inlineStr">
        <is>
          <t>龍平住宿+早餐</t>
        </is>
      </c>
      <c r="B5" s="3">
        <f>設定!$C$36</f>
        <v/>
      </c>
      <c r="C5" s="3">
        <f>SUM(F31:F102)</f>
        <v/>
      </c>
      <c r="D5" s="3">
        <f>B5*C5</f>
        <v/>
      </c>
      <c r="E5" s="3">
        <f>D5*設定!$B$5</f>
        <v/>
      </c>
      <c r="F5" s="3">
        <f>IF($B$2=0,0,C5/$B$2)</f>
        <v/>
      </c>
      <c r="G5" s="3">
        <f>IF($B$2=0,0,E5/$B$2)</f>
        <v/>
      </c>
      <c r="H5" t="inlineStr">
        <is>
          <t>標準3泊 + 續滑天數(保留市區住宿者不加)</t>
        </is>
      </c>
    </row>
    <row r="6">
      <c r="A6" t="inlineStr">
        <is>
          <t>首爾住宿+早餐</t>
        </is>
      </c>
      <c r="B6" s="3">
        <f>設定!$C$37</f>
        <v/>
      </c>
      <c r="C6" s="3">
        <f>SUM(G31:G102)</f>
        <v/>
      </c>
      <c r="D6" s="3">
        <f>B6*C6</f>
        <v/>
      </c>
      <c r="E6" s="3">
        <f>D6*設定!$B$5</f>
        <v/>
      </c>
      <c r="F6" s="3">
        <f>IF($B$2=0,0,C6/$B$2)</f>
        <v/>
      </c>
      <c r="G6" s="3">
        <f>IF($B$2=0,0,E6/$B$2)</f>
        <v/>
      </c>
      <c r="H6" t="inlineStr">
        <is>
          <t>標準1泊 + 市區續住;取消者標準為0</t>
        </is>
      </c>
    </row>
    <row r="7">
      <c r="A7" t="inlineStr">
        <is>
          <t>交通 機場&gt;雪場</t>
        </is>
      </c>
      <c r="B7" s="3">
        <f>設定!$C$38</f>
        <v/>
      </c>
      <c r="C7" s="3">
        <f>SUM(H31:H102)</f>
        <v/>
      </c>
      <c r="D7" s="3">
        <f>B7*C7</f>
        <v/>
      </c>
      <c r="E7" s="3">
        <f>D7*設定!$B$5</f>
        <v/>
      </c>
      <c r="F7" s="3">
        <f>IF($B$2=0,0,C7/$B$2)</f>
        <v/>
      </c>
      <c r="G7" s="3">
        <f>IF($B$2=0,0,E7/$B$2)</f>
        <v/>
      </c>
      <c r="H7" t="inlineStr">
        <is>
          <t>每人1</t>
        </is>
      </c>
    </row>
    <row r="8">
      <c r="A8" t="inlineStr">
        <is>
          <t>交通 雪場&gt;市區</t>
        </is>
      </c>
      <c r="B8" s="3">
        <f>設定!$C$39</f>
        <v/>
      </c>
      <c r="C8" s="3">
        <f>SUM(I31:I102)</f>
        <v/>
      </c>
      <c r="D8" s="3">
        <f>B8*C8</f>
        <v/>
      </c>
      <c r="E8" s="3">
        <f>D8*設定!$B$5</f>
        <v/>
      </c>
      <c r="F8" s="3">
        <f>IF($B$2=0,0,C8/$B$2)</f>
        <v/>
      </c>
      <c r="G8" s="3">
        <f>IF($B$2=0,0,E8/$B$2)</f>
        <v/>
      </c>
      <c r="H8" t="inlineStr">
        <is>
          <t>每人1</t>
        </is>
      </c>
    </row>
    <row r="9">
      <c r="A9" t="inlineStr">
        <is>
          <t>保護費</t>
        </is>
      </c>
      <c r="B9" s="3">
        <f>設定!$C$40</f>
        <v/>
      </c>
      <c r="C9" s="3">
        <f>SUM(J31:J102)</f>
        <v/>
      </c>
      <c r="D9" s="3">
        <f>B9*C9</f>
        <v/>
      </c>
      <c r="E9" s="3">
        <f>D9*設定!$B$5</f>
        <v/>
      </c>
      <c r="F9" s="3">
        <f>IF($B$2=0,0,C9/$B$2)</f>
        <v/>
      </c>
      <c r="G9" s="3">
        <f>IF($B$2=0,0,E9/$B$2)</f>
        <v/>
      </c>
      <c r="H9" t="inlineStr">
        <is>
          <t>每人1</t>
        </is>
      </c>
    </row>
    <row r="10">
      <c r="A10" t="inlineStr">
        <is>
          <t>三點set+雪票</t>
        </is>
      </c>
      <c r="B10" s="3">
        <f>設定!$C$41</f>
        <v/>
      </c>
      <c r="C10" s="3">
        <f>SUM(K31:K102)</f>
        <v/>
      </c>
      <c r="D10" s="3">
        <f>B10*C10</f>
        <v/>
      </c>
      <c r="E10" s="3">
        <f>D10*設定!$B$5</f>
        <v/>
      </c>
      <c r="F10" s="3">
        <f>IF($B$2=0,0,C10/$B$2)</f>
        <v/>
      </c>
      <c r="G10" s="3">
        <f>IF($B$2=0,0,E10/$B$2)</f>
        <v/>
      </c>
      <c r="H10" t="inlineStr">
        <is>
          <t>標準2日 + 續滑天數</t>
        </is>
      </c>
    </row>
    <row r="11">
      <c r="A11" t="inlineStr">
        <is>
          <t>保險</t>
        </is>
      </c>
      <c r="B11" s="3">
        <f>設定!$C$43</f>
        <v/>
      </c>
      <c r="C11" s="3">
        <f>SUM(L31:L102)</f>
        <v/>
      </c>
      <c r="D11" s="3">
        <f>B11*C11</f>
        <v/>
      </c>
      <c r="E11" s="3">
        <f>D11*設定!$B$5</f>
        <v/>
      </c>
      <c r="F11" s="3">
        <f>IF($B$2=0,0,C11/$B$2)</f>
        <v/>
      </c>
      <c r="G11" s="3">
        <f>IF($B$2=0,0,E11/$B$2)</f>
        <v/>
      </c>
      <c r="H11" t="inlineStr">
        <is>
          <t>每人1</t>
        </is>
      </c>
    </row>
    <row r="12">
      <c r="A12" s="4" t="inlineStr">
        <is>
          <t>總成本</t>
        </is>
      </c>
      <c r="B12" s="3" t="n"/>
      <c r="C12" s="3" t="n"/>
      <c r="D12" s="3">
        <f>SUM(D5:D11)</f>
        <v/>
      </c>
      <c r="E12" s="3">
        <f>SUM(E5:E11)</f>
        <v/>
      </c>
      <c r="F12" s="3" t="n"/>
      <c r="G12" s="3">
        <f>SUM(G5:G11)</f>
        <v/>
      </c>
    </row>
    <row r="13">
      <c r="B13" s="3" t="n"/>
      <c r="C13" s="3" t="n"/>
      <c r="D13" s="3" t="n"/>
      <c r="E13" s="3" t="n"/>
      <c r="F13" s="3" t="n"/>
      <c r="G13" s="3" t="n"/>
    </row>
    <row r="14">
      <c r="A14" s="2" t="inlineStr">
        <is>
          <t>結果(台幣)</t>
        </is>
      </c>
      <c r="B14" s="6" t="inlineStr">
        <is>
          <t>版本一(不計租借收入)</t>
        </is>
      </c>
      <c r="C14" s="6" t="inlineStr">
        <is>
          <t>版本二(含租借收入)</t>
        </is>
      </c>
      <c r="D14" s="3" t="n"/>
      <c r="E14" s="3" t="n"/>
      <c r="F14" s="3" t="n"/>
      <c r="G14" s="3" t="n"/>
    </row>
    <row r="15">
      <c r="A15" t="inlineStr">
        <is>
          <t>總收入(原始團費)</t>
        </is>
      </c>
      <c r="B15" s="3">
        <f>SUM(D31:D102)</f>
        <v/>
      </c>
      <c r="C15" s="3">
        <f>SUM(D31:D102)</f>
        <v/>
      </c>
      <c r="D15" s="3" t="n"/>
      <c r="E15" s="3" t="n"/>
      <c r="F15" s="3" t="n"/>
      <c r="G15" s="3" t="n"/>
    </row>
    <row r="16">
      <c r="A16" t="inlineStr">
        <is>
          <t>租借收入(依租借欄位估算)</t>
        </is>
      </c>
      <c r="B16" s="3">
        <f>SUM(E31:E102)</f>
        <v/>
      </c>
      <c r="C16" s="3">
        <f>SUM(E31:E102)</f>
        <v/>
      </c>
      <c r="D16" s="3" t="n"/>
      <c r="E16" s="3" t="n"/>
      <c r="F16" s="3" t="n"/>
      <c r="G16" s="3" t="n"/>
    </row>
    <row r="17">
      <c r="A17" t="inlineStr">
        <is>
          <t>計入收入</t>
        </is>
      </c>
      <c r="B17" s="3">
        <f>B15-B16</f>
        <v/>
      </c>
      <c r="C17" s="3">
        <f>C15</f>
        <v/>
      </c>
      <c r="D17" s="3" t="n"/>
      <c r="E17" s="3" t="n"/>
      <c r="F17" s="3" t="n"/>
      <c r="G17" s="3" t="n"/>
    </row>
    <row r="18">
      <c r="A18" t="inlineStr">
        <is>
          <t>刷卡後收入(×係數)</t>
        </is>
      </c>
      <c r="B18" s="3">
        <f>B17*設定!$B$3</f>
        <v/>
      </c>
      <c r="C18" s="3">
        <f>C17*設定!$B$3</f>
        <v/>
      </c>
      <c r="D18" s="3" t="n"/>
      <c r="E18" s="3" t="n"/>
      <c r="F18" s="3" t="n"/>
      <c r="G18" s="3" t="n"/>
    </row>
    <row r="19">
      <c r="A19" t="inlineStr">
        <is>
          <t>總成本</t>
        </is>
      </c>
      <c r="B19" s="3">
        <f>$E$12</f>
        <v/>
      </c>
      <c r="C19" s="3">
        <f>$E$12</f>
        <v/>
      </c>
      <c r="D19" s="3" t="n"/>
      <c r="E19" s="3" t="n"/>
      <c r="F19" s="3" t="n"/>
      <c r="G19" s="3" t="n"/>
    </row>
    <row r="20">
      <c r="A20" t="inlineStr">
        <is>
          <t>稅 (計入收入−總成本)×稅率</t>
        </is>
      </c>
      <c r="B20" s="3">
        <f>(B17-B19)*設定!$B$4</f>
        <v/>
      </c>
      <c r="C20" s="3">
        <f>(C17-C19)*設定!$B$4</f>
        <v/>
      </c>
      <c r="D20" s="3" t="n"/>
      <c r="E20" s="3" t="n"/>
      <c r="F20" s="3" t="n"/>
      <c r="G20" s="3" t="n"/>
    </row>
    <row r="21">
      <c r="A21" s="7" t="inlineStr">
        <is>
          <t>最後結果</t>
        </is>
      </c>
      <c r="B21" s="8">
        <f>B18-B19-B20</f>
        <v/>
      </c>
      <c r="C21" s="8">
        <f>C18-C19-C20</f>
        <v/>
      </c>
      <c r="D21" s="3" t="n"/>
      <c r="E21" s="3" t="n"/>
      <c r="F21" s="3" t="n"/>
      <c r="G21" s="3" t="n"/>
    </row>
    <row r="22">
      <c r="A22" t="inlineStr">
        <is>
          <t>每人 計入收入</t>
        </is>
      </c>
      <c r="B22" s="3">
        <f>IF($B$2=0,0,B17/$B$2)</f>
        <v/>
      </c>
      <c r="C22" s="3">
        <f>IF($B$2=0,0,C17/$B$2)</f>
        <v/>
      </c>
      <c r="D22" s="3" t="n"/>
      <c r="E22" s="3" t="n"/>
      <c r="F22" s="3" t="n"/>
      <c r="G22" s="3" t="n"/>
    </row>
    <row r="23">
      <c r="A23" t="inlineStr">
        <is>
          <t>每人 總成本</t>
        </is>
      </c>
      <c r="B23" s="3">
        <f>IF($B$2=0,0,B19/$B$2)</f>
        <v/>
      </c>
      <c r="C23" s="3">
        <f>IF($B$2=0,0,C19/$B$2)</f>
        <v/>
      </c>
      <c r="D23" s="3" t="n"/>
      <c r="E23" s="3" t="n"/>
      <c r="F23" s="3" t="n"/>
      <c r="G23" s="3" t="n"/>
    </row>
    <row r="24">
      <c r="A24" t="inlineStr">
        <is>
          <t>每人 結果</t>
        </is>
      </c>
      <c r="B24" s="3">
        <f>IF($B$2=0,0,B21/$B$2)</f>
        <v/>
      </c>
      <c r="C24" s="3">
        <f>IF($B$2=0,0,C21/$B$2)</f>
        <v/>
      </c>
      <c r="D24" s="3" t="n"/>
      <c r="E24" s="3" t="n"/>
      <c r="F24" s="3" t="n"/>
      <c r="G24" s="3" t="n"/>
    </row>
    <row r="25">
      <c r="B25" s="3" t="n"/>
      <c r="C25" s="3" t="n"/>
      <c r="D25" s="3" t="n"/>
      <c r="E25" s="3" t="n"/>
      <c r="F25" s="3" t="n"/>
      <c r="G25" s="3" t="n"/>
    </row>
    <row r="29">
      <c r="A29" s="4" t="inlineStr">
        <is>
          <t>團別明細(數量來自原始資料;成本用上方單價計算)</t>
        </is>
      </c>
    </row>
    <row r="30">
      <c r="A30" s="2" t="inlineStr">
        <is>
          <t>團號</t>
        </is>
      </c>
      <c r="B30" s="2" t="inlineStr">
        <is>
          <t>出發日</t>
        </is>
      </c>
      <c r="C30" s="2" t="inlineStr">
        <is>
          <t>人數</t>
        </is>
      </c>
      <c r="D30" s="2" t="inlineStr">
        <is>
          <t>總收入</t>
        </is>
      </c>
      <c r="E30" s="2" t="inlineStr">
        <is>
          <t>租借收入(估)</t>
        </is>
      </c>
      <c r="F30" s="2" t="inlineStr">
        <is>
          <t>龍平住宿+早餐</t>
        </is>
      </c>
      <c r="G30" s="2" t="inlineStr">
        <is>
          <t>首爾住宿+早餐</t>
        </is>
      </c>
      <c r="H30" s="2" t="inlineStr">
        <is>
          <t>交通 機場&gt;雪場</t>
        </is>
      </c>
      <c r="I30" s="2" t="inlineStr">
        <is>
          <t>交通 雪場&gt;市區</t>
        </is>
      </c>
      <c r="J30" s="2" t="inlineStr">
        <is>
          <t>保護費</t>
        </is>
      </c>
      <c r="K30" s="2" t="inlineStr">
        <is>
          <t>三點set+雪票</t>
        </is>
      </c>
      <c r="L30" s="2" t="inlineStr">
        <is>
          <t>保險</t>
        </is>
      </c>
      <c r="M30" s="2" t="inlineStr">
        <is>
          <t>韓幣成本</t>
        </is>
      </c>
      <c r="N30" s="2" t="inlineStr">
        <is>
          <t>台幣成本</t>
        </is>
      </c>
      <c r="O30" s="2" t="inlineStr">
        <is>
          <t>版本一結果</t>
        </is>
      </c>
      <c r="P30" s="2" t="inlineStr">
        <is>
          <t>版本二結果</t>
        </is>
      </c>
      <c r="Q30" s="2" t="inlineStr">
        <is>
          <t>每人 版本一</t>
        </is>
      </c>
      <c r="R30" s="2" t="inlineStr">
        <is>
          <t>每人 版本二</t>
        </is>
      </c>
    </row>
    <row r="31">
      <c r="A31" t="inlineStr">
        <is>
          <t>S4-K-Y0261206A</t>
        </is>
      </c>
      <c r="B31" t="inlineStr">
        <is>
          <t>2026/12/06</t>
        </is>
      </c>
      <c r="C31" t="n">
        <v>4</v>
      </c>
      <c r="D31" s="3" t="n">
        <v>171600</v>
      </c>
      <c r="E31" s="3" t="n">
        <v>0</v>
      </c>
      <c r="F31" s="3" t="n">
        <v>16</v>
      </c>
      <c r="G31" s="3" t="n">
        <v>0</v>
      </c>
      <c r="H31" s="3" t="n">
        <v>4</v>
      </c>
      <c r="I31" s="3" t="n">
        <v>4</v>
      </c>
      <c r="J31" s="3" t="n">
        <v>4</v>
      </c>
      <c r="K31" s="3" t="n">
        <v>12</v>
      </c>
      <c r="L31" s="3" t="n">
        <v>4</v>
      </c>
      <c r="M31" s="3">
        <f>F31*$B$5+G31*$B$6+H31*$B$7+I31*$B$8+J31*$B$9+K31*$B$10+L31*$B$11</f>
        <v/>
      </c>
      <c r="N31" s="3">
        <f>M31*設定!$B$5</f>
        <v/>
      </c>
      <c r="O31" s="3">
        <f>(D31-E31)*設定!$B$3-N31-((D31-E31)-N31)*設定!$B$4</f>
        <v/>
      </c>
      <c r="P31" s="3">
        <f>D31*設定!$B$3-N31-(D31-N31)*設定!$B$4</f>
        <v/>
      </c>
      <c r="Q31" s="3">
        <f>O31/C31</f>
        <v/>
      </c>
      <c r="R31" s="3">
        <f>P31/C31</f>
        <v/>
      </c>
    </row>
    <row r="32">
      <c r="A32" t="inlineStr">
        <is>
          <t>S4-K-Y0261220A</t>
        </is>
      </c>
      <c r="B32" t="inlineStr">
        <is>
          <t>2026/12/20</t>
        </is>
      </c>
      <c r="C32" t="n">
        <v>2</v>
      </c>
      <c r="D32" s="3" t="n">
        <v>81400</v>
      </c>
      <c r="E32" s="3" t="n">
        <v>5600</v>
      </c>
      <c r="F32" s="3" t="n">
        <v>6</v>
      </c>
      <c r="G32" s="3" t="n">
        <v>0</v>
      </c>
      <c r="H32" s="3" t="n">
        <v>2</v>
      </c>
      <c r="I32" s="3" t="n">
        <v>2</v>
      </c>
      <c r="J32" s="3" t="n">
        <v>2</v>
      </c>
      <c r="K32" s="3" t="n">
        <v>4</v>
      </c>
      <c r="L32" s="3" t="n">
        <v>2</v>
      </c>
      <c r="M32" s="3">
        <f>F32*$B$5+G32*$B$6+H32*$B$7+I32*$B$8+J32*$B$9+K32*$B$10+L32*$B$11</f>
        <v/>
      </c>
      <c r="N32" s="3">
        <f>M32*設定!$B$5</f>
        <v/>
      </c>
      <c r="O32" s="3">
        <f>(D32-E32)*設定!$B$3-N32-((D32-E32)-N32)*設定!$B$4</f>
        <v/>
      </c>
      <c r="P32" s="3">
        <f>D32*設定!$B$3-N32-(D32-N32)*設定!$B$4</f>
        <v/>
      </c>
      <c r="Q32" s="3">
        <f>O32/C32</f>
        <v/>
      </c>
      <c r="R32" s="3">
        <f>P32/C32</f>
        <v/>
      </c>
    </row>
    <row r="33">
      <c r="A33" t="inlineStr">
        <is>
          <t>S4-K-YS0261205A</t>
        </is>
      </c>
      <c r="B33" t="inlineStr">
        <is>
          <t>2026/12/05</t>
        </is>
      </c>
      <c r="C33" t="n">
        <v>4</v>
      </c>
      <c r="D33" s="3" t="n">
        <v>140400</v>
      </c>
      <c r="E33" s="3" t="n">
        <v>12800</v>
      </c>
      <c r="F33" s="3" t="n">
        <v>12</v>
      </c>
      <c r="G33" s="3" t="n">
        <v>4</v>
      </c>
      <c r="H33" s="3" t="n">
        <v>4</v>
      </c>
      <c r="I33" s="3" t="n">
        <v>4</v>
      </c>
      <c r="J33" s="3" t="n">
        <v>4</v>
      </c>
      <c r="K33" s="3" t="n">
        <v>8</v>
      </c>
      <c r="L33" s="3" t="n">
        <v>4</v>
      </c>
      <c r="M33" s="3">
        <f>F33*$B$5+G33*$B$6+H33*$B$7+I33*$B$8+J33*$B$9+K33*$B$10+L33*$B$11</f>
        <v/>
      </c>
      <c r="N33" s="3">
        <f>M33*設定!$B$5</f>
        <v/>
      </c>
      <c r="O33" s="3">
        <f>(D33-E33)*設定!$B$3-N33-((D33-E33)-N33)*設定!$B$4</f>
        <v/>
      </c>
      <c r="P33" s="3">
        <f>D33*設定!$B$3-N33-(D33-N33)*設定!$B$4</f>
        <v/>
      </c>
      <c r="Q33" s="3">
        <f>O33/C33</f>
        <v/>
      </c>
      <c r="R33" s="3">
        <f>P33/C33</f>
        <v/>
      </c>
    </row>
    <row r="34">
      <c r="A34" t="inlineStr">
        <is>
          <t>S4-K-YS0261208A</t>
        </is>
      </c>
      <c r="B34" t="inlineStr">
        <is>
          <t>2026/12/08</t>
        </is>
      </c>
      <c r="C34" t="n">
        <v>2</v>
      </c>
      <c r="D34" s="3" t="n">
        <v>78600</v>
      </c>
      <c r="E34" s="3" t="n">
        <v>6400</v>
      </c>
      <c r="F34" s="3" t="n">
        <v>6</v>
      </c>
      <c r="G34" s="3" t="n">
        <v>4</v>
      </c>
      <c r="H34" s="3" t="n">
        <v>2</v>
      </c>
      <c r="I34" s="3" t="n">
        <v>2</v>
      </c>
      <c r="J34" s="3" t="n">
        <v>2</v>
      </c>
      <c r="K34" s="3" t="n">
        <v>4</v>
      </c>
      <c r="L34" s="3" t="n">
        <v>2</v>
      </c>
      <c r="M34" s="3">
        <f>F34*$B$5+G34*$B$6+H34*$B$7+I34*$B$8+J34*$B$9+K34*$B$10+L34*$B$11</f>
        <v/>
      </c>
      <c r="N34" s="3">
        <f>M34*設定!$B$5</f>
        <v/>
      </c>
      <c r="O34" s="3">
        <f>(D34-E34)*設定!$B$3-N34-((D34-E34)-N34)*設定!$B$4</f>
        <v/>
      </c>
      <c r="P34" s="3">
        <f>D34*設定!$B$3-N34-(D34-N34)*設定!$B$4</f>
        <v/>
      </c>
      <c r="Q34" s="3">
        <f>O34/C34</f>
        <v/>
      </c>
      <c r="R34" s="3">
        <f>P34/C34</f>
        <v/>
      </c>
    </row>
    <row r="35">
      <c r="A35" t="inlineStr">
        <is>
          <t>S4-K-YS0261209A</t>
        </is>
      </c>
      <c r="B35" t="inlineStr">
        <is>
          <t>2026/12/09</t>
        </is>
      </c>
      <c r="C35" t="n">
        <v>6</v>
      </c>
      <c r="D35" s="3" t="n">
        <v>262200</v>
      </c>
      <c r="E35" s="3" t="n">
        <v>22800</v>
      </c>
      <c r="F35" s="3" t="n">
        <v>22</v>
      </c>
      <c r="G35" s="3" t="n">
        <v>6</v>
      </c>
      <c r="H35" s="3" t="n">
        <v>6</v>
      </c>
      <c r="I35" s="3" t="n">
        <v>6</v>
      </c>
      <c r="J35" s="3" t="n">
        <v>6</v>
      </c>
      <c r="K35" s="3" t="n">
        <v>16</v>
      </c>
      <c r="L35" s="3" t="n">
        <v>6</v>
      </c>
      <c r="M35" s="3">
        <f>F35*$B$5+G35*$B$6+H35*$B$7+I35*$B$8+J35*$B$9+K35*$B$10+L35*$B$11</f>
        <v/>
      </c>
      <c r="N35" s="3">
        <f>M35*設定!$B$5</f>
        <v/>
      </c>
      <c r="O35" s="3">
        <f>(D35-E35)*設定!$B$3-N35-((D35-E35)-N35)*設定!$B$4</f>
        <v/>
      </c>
      <c r="P35" s="3">
        <f>D35*設定!$B$3-N35-(D35-N35)*設定!$B$4</f>
        <v/>
      </c>
      <c r="Q35" s="3">
        <f>O35/C35</f>
        <v/>
      </c>
      <c r="R35" s="3">
        <f>P35/C35</f>
        <v/>
      </c>
    </row>
    <row r="36">
      <c r="A36" t="inlineStr">
        <is>
          <t>S4-K-YS0261210A</t>
        </is>
      </c>
      <c r="B36" t="inlineStr">
        <is>
          <t>2026/12/10</t>
        </is>
      </c>
      <c r="C36" t="n">
        <v>2</v>
      </c>
      <c r="D36" s="3" t="n">
        <v>72200</v>
      </c>
      <c r="E36" s="3" t="n">
        <v>6400</v>
      </c>
      <c r="F36" s="3" t="n">
        <v>6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4</v>
      </c>
      <c r="L36" s="3" t="n">
        <v>2</v>
      </c>
      <c r="M36" s="3">
        <f>F36*$B$5+G36*$B$6+H36*$B$7+I36*$B$8+J36*$B$9+K36*$B$10+L36*$B$11</f>
        <v/>
      </c>
      <c r="N36" s="3">
        <f>M36*設定!$B$5</f>
        <v/>
      </c>
      <c r="O36" s="3">
        <f>(D36-E36)*設定!$B$3-N36-((D36-E36)-N36)*設定!$B$4</f>
        <v/>
      </c>
      <c r="P36" s="3">
        <f>D36*設定!$B$3-N36-(D36-N36)*設定!$B$4</f>
        <v/>
      </c>
      <c r="Q36" s="3">
        <f>O36/C36</f>
        <v/>
      </c>
      <c r="R36" s="3">
        <f>P36/C36</f>
        <v/>
      </c>
    </row>
    <row r="37">
      <c r="A37" t="inlineStr">
        <is>
          <t>S4-K-YS0261211A</t>
        </is>
      </c>
      <c r="B37" t="inlineStr">
        <is>
          <t>2026/12/11</t>
        </is>
      </c>
      <c r="C37" t="n">
        <v>7</v>
      </c>
      <c r="D37" s="3" t="n">
        <v>255400</v>
      </c>
      <c r="E37" s="3" t="n">
        <v>22400</v>
      </c>
      <c r="F37" s="3" t="n">
        <v>21</v>
      </c>
      <c r="G37" s="3" t="n">
        <v>7</v>
      </c>
      <c r="H37" s="3" t="n">
        <v>7</v>
      </c>
      <c r="I37" s="3" t="n">
        <v>7</v>
      </c>
      <c r="J37" s="3" t="n">
        <v>7</v>
      </c>
      <c r="K37" s="3" t="n">
        <v>14</v>
      </c>
      <c r="L37" s="3" t="n">
        <v>7</v>
      </c>
      <c r="M37" s="3">
        <f>F37*$B$5+G37*$B$6+H37*$B$7+I37*$B$8+J37*$B$9+K37*$B$10+L37*$B$11</f>
        <v/>
      </c>
      <c r="N37" s="3">
        <f>M37*設定!$B$5</f>
        <v/>
      </c>
      <c r="O37" s="3">
        <f>(D37-E37)*設定!$B$3-N37-((D37-E37)-N37)*設定!$B$4</f>
        <v/>
      </c>
      <c r="P37" s="3">
        <f>D37*設定!$B$3-N37-(D37-N37)*設定!$B$4</f>
        <v/>
      </c>
      <c r="Q37" s="3">
        <f>O37/C37</f>
        <v/>
      </c>
      <c r="R37" s="3">
        <f>P37/C37</f>
        <v/>
      </c>
    </row>
    <row r="38">
      <c r="A38" t="inlineStr">
        <is>
          <t>S4-K-YS0261212A</t>
        </is>
      </c>
      <c r="B38" t="inlineStr">
        <is>
          <t>2026/12/12</t>
        </is>
      </c>
      <c r="C38" t="n">
        <v>9</v>
      </c>
      <c r="D38" s="3" t="n">
        <v>323300</v>
      </c>
      <c r="E38" s="3" t="n">
        <v>15200</v>
      </c>
      <c r="F38" s="3" t="n">
        <v>27</v>
      </c>
      <c r="G38" s="3" t="n">
        <v>9</v>
      </c>
      <c r="H38" s="3" t="n">
        <v>9</v>
      </c>
      <c r="I38" s="3" t="n">
        <v>9</v>
      </c>
      <c r="J38" s="3" t="n">
        <v>9</v>
      </c>
      <c r="K38" s="3" t="n">
        <v>18</v>
      </c>
      <c r="L38" s="3" t="n">
        <v>9</v>
      </c>
      <c r="M38" s="3">
        <f>F38*$B$5+G38*$B$6+H38*$B$7+I38*$B$8+J38*$B$9+K38*$B$10+L38*$B$11</f>
        <v/>
      </c>
      <c r="N38" s="3">
        <f>M38*設定!$B$5</f>
        <v/>
      </c>
      <c r="O38" s="3">
        <f>(D38-E38)*設定!$B$3-N38-((D38-E38)-N38)*設定!$B$4</f>
        <v/>
      </c>
      <c r="P38" s="3">
        <f>D38*設定!$B$3-N38-(D38-N38)*設定!$B$4</f>
        <v/>
      </c>
      <c r="Q38" s="3">
        <f>O38/C38</f>
        <v/>
      </c>
      <c r="R38" s="3">
        <f>P38/C38</f>
        <v/>
      </c>
    </row>
    <row r="39">
      <c r="A39" t="inlineStr">
        <is>
          <t>S4-K-YS0261213A</t>
        </is>
      </c>
      <c r="B39" t="inlineStr">
        <is>
          <t>2026/12/13</t>
        </is>
      </c>
      <c r="C39" t="n">
        <v>10</v>
      </c>
      <c r="D39" s="3" t="n">
        <v>455600</v>
      </c>
      <c r="E39" s="3" t="n">
        <v>29600</v>
      </c>
      <c r="F39" s="3" t="n">
        <v>34</v>
      </c>
      <c r="G39" s="3" t="n">
        <v>16</v>
      </c>
      <c r="H39" s="3" t="n">
        <v>10</v>
      </c>
      <c r="I39" s="3" t="n">
        <v>10</v>
      </c>
      <c r="J39" s="3" t="n">
        <v>10</v>
      </c>
      <c r="K39" s="3" t="n">
        <v>24</v>
      </c>
      <c r="L39" s="3" t="n">
        <v>10</v>
      </c>
      <c r="M39" s="3">
        <f>F39*$B$5+G39*$B$6+H39*$B$7+I39*$B$8+J39*$B$9+K39*$B$10+L39*$B$11</f>
        <v/>
      </c>
      <c r="N39" s="3">
        <f>M39*設定!$B$5</f>
        <v/>
      </c>
      <c r="O39" s="3">
        <f>(D39-E39)*設定!$B$3-N39-((D39-E39)-N39)*設定!$B$4</f>
        <v/>
      </c>
      <c r="P39" s="3">
        <f>D39*設定!$B$3-N39-(D39-N39)*設定!$B$4</f>
        <v/>
      </c>
      <c r="Q39" s="3">
        <f>O39/C39</f>
        <v/>
      </c>
      <c r="R39" s="3">
        <f>P39/C39</f>
        <v/>
      </c>
    </row>
    <row r="40">
      <c r="A40" t="inlineStr">
        <is>
          <t>S4-K-YS0261214A</t>
        </is>
      </c>
      <c r="B40" t="inlineStr">
        <is>
          <t>2026/12/14</t>
        </is>
      </c>
      <c r="C40" t="n">
        <v>2</v>
      </c>
      <c r="D40" s="3" t="n">
        <v>71800</v>
      </c>
      <c r="E40" s="3" t="n">
        <v>2000</v>
      </c>
      <c r="F40" s="3" t="n">
        <v>6</v>
      </c>
      <c r="G40" s="3" t="n">
        <v>2</v>
      </c>
      <c r="H40" s="3" t="n">
        <v>2</v>
      </c>
      <c r="I40" s="3" t="n">
        <v>2</v>
      </c>
      <c r="J40" s="3" t="n">
        <v>2</v>
      </c>
      <c r="K40" s="3" t="n">
        <v>4</v>
      </c>
      <c r="L40" s="3" t="n">
        <v>2</v>
      </c>
      <c r="M40" s="3">
        <f>F40*$B$5+G40*$B$6+H40*$B$7+I40*$B$8+J40*$B$9+K40*$B$10+L40*$B$11</f>
        <v/>
      </c>
      <c r="N40" s="3">
        <f>M40*設定!$B$5</f>
        <v/>
      </c>
      <c r="O40" s="3">
        <f>(D40-E40)*設定!$B$3-N40-((D40-E40)-N40)*設定!$B$4</f>
        <v/>
      </c>
      <c r="P40" s="3">
        <f>D40*設定!$B$3-N40-(D40-N40)*設定!$B$4</f>
        <v/>
      </c>
      <c r="Q40" s="3">
        <f>O40/C40</f>
        <v/>
      </c>
      <c r="R40" s="3">
        <f>P40/C40</f>
        <v/>
      </c>
    </row>
    <row r="41">
      <c r="A41" t="inlineStr">
        <is>
          <t>S4-K-YS0261215A</t>
        </is>
      </c>
      <c r="B41" t="inlineStr">
        <is>
          <t>2026/12/15</t>
        </is>
      </c>
      <c r="C41" t="n">
        <v>13</v>
      </c>
      <c r="D41" s="3" t="n">
        <v>465800</v>
      </c>
      <c r="E41" s="3" t="n">
        <v>23600</v>
      </c>
      <c r="F41" s="3" t="n">
        <v>39</v>
      </c>
      <c r="G41" s="3" t="n">
        <v>16</v>
      </c>
      <c r="H41" s="3" t="n">
        <v>13</v>
      </c>
      <c r="I41" s="3" t="n">
        <v>13</v>
      </c>
      <c r="J41" s="3" t="n">
        <v>13</v>
      </c>
      <c r="K41" s="3" t="n">
        <v>26</v>
      </c>
      <c r="L41" s="3" t="n">
        <v>13</v>
      </c>
      <c r="M41" s="3">
        <f>F41*$B$5+G41*$B$6+H41*$B$7+I41*$B$8+J41*$B$9+K41*$B$10+L41*$B$11</f>
        <v/>
      </c>
      <c r="N41" s="3">
        <f>M41*設定!$B$5</f>
        <v/>
      </c>
      <c r="O41" s="3">
        <f>(D41-E41)*設定!$B$3-N41-((D41-E41)-N41)*設定!$B$4</f>
        <v/>
      </c>
      <c r="P41" s="3">
        <f>D41*設定!$B$3-N41-(D41-N41)*設定!$B$4</f>
        <v/>
      </c>
      <c r="Q41" s="3">
        <f>O41/C41</f>
        <v/>
      </c>
      <c r="R41" s="3">
        <f>P41/C41</f>
        <v/>
      </c>
    </row>
    <row r="42">
      <c r="A42" t="inlineStr">
        <is>
          <t>S4-K-YS0261216A</t>
        </is>
      </c>
      <c r="B42" t="inlineStr">
        <is>
          <t>2026/12/16</t>
        </is>
      </c>
      <c r="C42" t="n">
        <v>2</v>
      </c>
      <c r="D42" s="3" t="n">
        <v>72200</v>
      </c>
      <c r="E42" s="3" t="n">
        <v>0</v>
      </c>
      <c r="F42" s="3" t="n">
        <v>6</v>
      </c>
      <c r="G42" s="3" t="n">
        <v>2</v>
      </c>
      <c r="H42" s="3" t="n">
        <v>2</v>
      </c>
      <c r="I42" s="3" t="n">
        <v>2</v>
      </c>
      <c r="J42" s="3" t="n">
        <v>2</v>
      </c>
      <c r="K42" s="3" t="n">
        <v>4</v>
      </c>
      <c r="L42" s="3" t="n">
        <v>2</v>
      </c>
      <c r="M42" s="3">
        <f>F42*$B$5+G42*$B$6+H42*$B$7+I42*$B$8+J42*$B$9+K42*$B$10+L42*$B$11</f>
        <v/>
      </c>
      <c r="N42" s="3">
        <f>M42*設定!$B$5</f>
        <v/>
      </c>
      <c r="O42" s="3">
        <f>(D42-E42)*設定!$B$3-N42-((D42-E42)-N42)*設定!$B$4</f>
        <v/>
      </c>
      <c r="P42" s="3">
        <f>D42*設定!$B$3-N42-(D42-N42)*設定!$B$4</f>
        <v/>
      </c>
      <c r="Q42" s="3">
        <f>O42/C42</f>
        <v/>
      </c>
      <c r="R42" s="3">
        <f>P42/C42</f>
        <v/>
      </c>
    </row>
    <row r="43">
      <c r="A43" t="inlineStr">
        <is>
          <t>S4-K-YS0261217A</t>
        </is>
      </c>
      <c r="B43" t="inlineStr">
        <is>
          <t>2026/12/17</t>
        </is>
      </c>
      <c r="C43" t="n">
        <v>2</v>
      </c>
      <c r="D43" s="3" t="n">
        <v>64800</v>
      </c>
      <c r="E43" s="3" t="n">
        <v>0</v>
      </c>
      <c r="F43" s="3" t="n">
        <v>6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4</v>
      </c>
      <c r="L43" s="3" t="n">
        <v>2</v>
      </c>
      <c r="M43" s="3">
        <f>F43*$B$5+G43*$B$6+H43*$B$7+I43*$B$8+J43*$B$9+K43*$B$10+L43*$B$11</f>
        <v/>
      </c>
      <c r="N43" s="3">
        <f>M43*設定!$B$5</f>
        <v/>
      </c>
      <c r="O43" s="3">
        <f>(D43-E43)*設定!$B$3-N43-((D43-E43)-N43)*設定!$B$4</f>
        <v/>
      </c>
      <c r="P43" s="3">
        <f>D43*設定!$B$3-N43-(D43-N43)*設定!$B$4</f>
        <v/>
      </c>
      <c r="Q43" s="3">
        <f>O43/C43</f>
        <v/>
      </c>
      <c r="R43" s="3">
        <f>P43/C43</f>
        <v/>
      </c>
    </row>
    <row r="44">
      <c r="A44" t="inlineStr">
        <is>
          <t>S4-K-YS0261218A</t>
        </is>
      </c>
      <c r="B44" t="inlineStr">
        <is>
          <t>2026/12/18</t>
        </is>
      </c>
      <c r="C44" t="n">
        <v>3</v>
      </c>
      <c r="D44" s="3" t="n">
        <v>112300</v>
      </c>
      <c r="E44" s="3" t="n">
        <v>9600</v>
      </c>
      <c r="F44" s="3" t="n">
        <v>9</v>
      </c>
      <c r="G44" s="3" t="n">
        <v>3</v>
      </c>
      <c r="H44" s="3" t="n">
        <v>3</v>
      </c>
      <c r="I44" s="3" t="n">
        <v>3</v>
      </c>
      <c r="J44" s="3" t="n">
        <v>3</v>
      </c>
      <c r="K44" s="3" t="n">
        <v>6</v>
      </c>
      <c r="L44" s="3" t="n">
        <v>3</v>
      </c>
      <c r="M44" s="3">
        <f>F44*$B$5+G44*$B$6+H44*$B$7+I44*$B$8+J44*$B$9+K44*$B$10+L44*$B$11</f>
        <v/>
      </c>
      <c r="N44" s="3">
        <f>M44*設定!$B$5</f>
        <v/>
      </c>
      <c r="O44" s="3">
        <f>(D44-E44)*設定!$B$3-N44-((D44-E44)-N44)*設定!$B$4</f>
        <v/>
      </c>
      <c r="P44" s="3">
        <f>D44*設定!$B$3-N44-(D44-N44)*設定!$B$4</f>
        <v/>
      </c>
      <c r="Q44" s="3">
        <f>O44/C44</f>
        <v/>
      </c>
      <c r="R44" s="3">
        <f>P44/C44</f>
        <v/>
      </c>
    </row>
    <row r="45">
      <c r="A45" t="inlineStr">
        <is>
          <t>S4-K-YS0261219A</t>
        </is>
      </c>
      <c r="B45" t="inlineStr">
        <is>
          <t>2026/12/19</t>
        </is>
      </c>
      <c r="C45" t="n">
        <v>22</v>
      </c>
      <c r="D45" s="3" t="n">
        <v>799720</v>
      </c>
      <c r="E45" s="3" t="n">
        <v>53600</v>
      </c>
      <c r="F45" s="3" t="n">
        <v>66</v>
      </c>
      <c r="G45" s="3" t="n">
        <v>24</v>
      </c>
      <c r="H45" s="3" t="n">
        <v>22</v>
      </c>
      <c r="I45" s="3" t="n">
        <v>22</v>
      </c>
      <c r="J45" s="3" t="n">
        <v>22</v>
      </c>
      <c r="K45" s="3" t="n">
        <v>44</v>
      </c>
      <c r="L45" s="3" t="n">
        <v>22</v>
      </c>
      <c r="M45" s="3">
        <f>F45*$B$5+G45*$B$6+H45*$B$7+I45*$B$8+J45*$B$9+K45*$B$10+L45*$B$11</f>
        <v/>
      </c>
      <c r="N45" s="3">
        <f>M45*設定!$B$5</f>
        <v/>
      </c>
      <c r="O45" s="3">
        <f>(D45-E45)*設定!$B$3-N45-((D45-E45)-N45)*設定!$B$4</f>
        <v/>
      </c>
      <c r="P45" s="3">
        <f>D45*設定!$B$3-N45-(D45-N45)*設定!$B$4</f>
        <v/>
      </c>
      <c r="Q45" s="3">
        <f>O45/C45</f>
        <v/>
      </c>
      <c r="R45" s="3">
        <f>P45/C45</f>
        <v/>
      </c>
    </row>
    <row r="46">
      <c r="A46" t="inlineStr">
        <is>
          <t>S4-K-YS0261220A</t>
        </is>
      </c>
      <c r="B46" t="inlineStr">
        <is>
          <t>2026/12/20</t>
        </is>
      </c>
      <c r="C46" t="n">
        <v>2</v>
      </c>
      <c r="D46" s="3" t="n">
        <v>83000</v>
      </c>
      <c r="E46" s="3" t="n">
        <v>3200</v>
      </c>
      <c r="F46" s="3" t="n">
        <v>6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4</v>
      </c>
      <c r="L46" s="3" t="n">
        <v>2</v>
      </c>
      <c r="M46" s="3">
        <f>F46*$B$5+G46*$B$6+H46*$B$7+I46*$B$8+J46*$B$9+K46*$B$10+L46*$B$11</f>
        <v/>
      </c>
      <c r="N46" s="3">
        <f>M46*設定!$B$5</f>
        <v/>
      </c>
      <c r="O46" s="3">
        <f>(D46-E46)*設定!$B$3-N46-((D46-E46)-N46)*設定!$B$4</f>
        <v/>
      </c>
      <c r="P46" s="3">
        <f>D46*設定!$B$3-N46-(D46-N46)*設定!$B$4</f>
        <v/>
      </c>
      <c r="Q46" s="3">
        <f>O46/C46</f>
        <v/>
      </c>
      <c r="R46" s="3">
        <f>P46/C46</f>
        <v/>
      </c>
    </row>
    <row r="47">
      <c r="A47" t="inlineStr">
        <is>
          <t>S4-K-YS0261221A</t>
        </is>
      </c>
      <c r="B47" t="inlineStr">
        <is>
          <t>2026/12/21</t>
        </is>
      </c>
      <c r="C47" t="n">
        <v>3</v>
      </c>
      <c r="D47" s="3" t="n">
        <v>132300</v>
      </c>
      <c r="E47" s="3" t="n">
        <v>9600</v>
      </c>
      <c r="F47" s="3" t="n">
        <v>9</v>
      </c>
      <c r="G47" s="3" t="n">
        <v>6</v>
      </c>
      <c r="H47" s="3" t="n">
        <v>3</v>
      </c>
      <c r="I47" s="3" t="n">
        <v>3</v>
      </c>
      <c r="J47" s="3" t="n">
        <v>3</v>
      </c>
      <c r="K47" s="3" t="n">
        <v>6</v>
      </c>
      <c r="L47" s="3" t="n">
        <v>3</v>
      </c>
      <c r="M47" s="3">
        <f>F47*$B$5+G47*$B$6+H47*$B$7+I47*$B$8+J47*$B$9+K47*$B$10+L47*$B$11</f>
        <v/>
      </c>
      <c r="N47" s="3">
        <f>M47*設定!$B$5</f>
        <v/>
      </c>
      <c r="O47" s="3">
        <f>(D47-E47)*設定!$B$3-N47-((D47-E47)-N47)*設定!$B$4</f>
        <v/>
      </c>
      <c r="P47" s="3">
        <f>D47*設定!$B$3-N47-(D47-N47)*設定!$B$4</f>
        <v/>
      </c>
      <c r="Q47" s="3">
        <f>O47/C47</f>
        <v/>
      </c>
      <c r="R47" s="3">
        <f>P47/C47</f>
        <v/>
      </c>
    </row>
    <row r="48">
      <c r="A48" t="inlineStr">
        <is>
          <t>S4-K-YS0261222A</t>
        </is>
      </c>
      <c r="B48" t="inlineStr">
        <is>
          <t>2026/12/22</t>
        </is>
      </c>
      <c r="C48" t="n">
        <v>7</v>
      </c>
      <c r="D48" s="3" t="n">
        <v>339900</v>
      </c>
      <c r="E48" s="3" t="n">
        <v>15600</v>
      </c>
      <c r="F48" s="3" t="n">
        <v>23</v>
      </c>
      <c r="G48" s="3" t="n">
        <v>14</v>
      </c>
      <c r="H48" s="3" t="n">
        <v>7</v>
      </c>
      <c r="I48" s="3" t="n">
        <v>7</v>
      </c>
      <c r="J48" s="3" t="n">
        <v>7</v>
      </c>
      <c r="K48" s="3" t="n">
        <v>16</v>
      </c>
      <c r="L48" s="3" t="n">
        <v>7</v>
      </c>
      <c r="M48" s="3">
        <f>F48*$B$5+G48*$B$6+H48*$B$7+I48*$B$8+J48*$B$9+K48*$B$10+L48*$B$11</f>
        <v/>
      </c>
      <c r="N48" s="3">
        <f>M48*設定!$B$5</f>
        <v/>
      </c>
      <c r="O48" s="3">
        <f>(D48-E48)*設定!$B$3-N48-((D48-E48)-N48)*設定!$B$4</f>
        <v/>
      </c>
      <c r="P48" s="3">
        <f>D48*設定!$B$3-N48-(D48-N48)*設定!$B$4</f>
        <v/>
      </c>
      <c r="Q48" s="3">
        <f>O48/C48</f>
        <v/>
      </c>
      <c r="R48" s="3">
        <f>P48/C48</f>
        <v/>
      </c>
    </row>
    <row r="49">
      <c r="A49" t="inlineStr">
        <is>
          <t>S4-K-YS0261223A</t>
        </is>
      </c>
      <c r="B49" t="inlineStr">
        <is>
          <t>2026/12/23</t>
        </is>
      </c>
      <c r="C49" t="n">
        <v>8</v>
      </c>
      <c r="D49" s="3" t="n">
        <v>332000</v>
      </c>
      <c r="E49" s="3" t="n">
        <v>20800</v>
      </c>
      <c r="F49" s="3" t="n">
        <v>24</v>
      </c>
      <c r="G49" s="3" t="n">
        <v>8</v>
      </c>
      <c r="H49" s="3" t="n">
        <v>8</v>
      </c>
      <c r="I49" s="3" t="n">
        <v>8</v>
      </c>
      <c r="J49" s="3" t="n">
        <v>8</v>
      </c>
      <c r="K49" s="3" t="n">
        <v>16</v>
      </c>
      <c r="L49" s="3" t="n">
        <v>8</v>
      </c>
      <c r="M49" s="3">
        <f>F49*$B$5+G49*$B$6+H49*$B$7+I49*$B$8+J49*$B$9+K49*$B$10+L49*$B$11</f>
        <v/>
      </c>
      <c r="N49" s="3">
        <f>M49*設定!$B$5</f>
        <v/>
      </c>
      <c r="O49" s="3">
        <f>(D49-E49)*設定!$B$3-N49-((D49-E49)-N49)*設定!$B$4</f>
        <v/>
      </c>
      <c r="P49" s="3">
        <f>D49*設定!$B$3-N49-(D49-N49)*設定!$B$4</f>
        <v/>
      </c>
      <c r="Q49" s="3">
        <f>O49/C49</f>
        <v/>
      </c>
      <c r="R49" s="3">
        <f>P49/C49</f>
        <v/>
      </c>
    </row>
    <row r="50">
      <c r="A50" t="inlineStr">
        <is>
          <t>S4-K-YS0261224A</t>
        </is>
      </c>
      <c r="B50" t="inlineStr">
        <is>
          <t>2026/12/24</t>
        </is>
      </c>
      <c r="C50" t="n">
        <v>5</v>
      </c>
      <c r="D50" s="3" t="n">
        <v>221500</v>
      </c>
      <c r="E50" s="3" t="n">
        <v>16000</v>
      </c>
      <c r="F50" s="3" t="n">
        <v>15</v>
      </c>
      <c r="G50" s="3" t="n">
        <v>5</v>
      </c>
      <c r="H50" s="3" t="n">
        <v>5</v>
      </c>
      <c r="I50" s="3" t="n">
        <v>5</v>
      </c>
      <c r="J50" s="3" t="n">
        <v>5</v>
      </c>
      <c r="K50" s="3" t="n">
        <v>10</v>
      </c>
      <c r="L50" s="3" t="n">
        <v>5</v>
      </c>
      <c r="M50" s="3">
        <f>F50*$B$5+G50*$B$6+H50*$B$7+I50*$B$8+J50*$B$9+K50*$B$10+L50*$B$11</f>
        <v/>
      </c>
      <c r="N50" s="3">
        <f>M50*設定!$B$5</f>
        <v/>
      </c>
      <c r="O50" s="3">
        <f>(D50-E50)*設定!$B$3-N50-((D50-E50)-N50)*設定!$B$4</f>
        <v/>
      </c>
      <c r="P50" s="3">
        <f>D50*設定!$B$3-N50-(D50-N50)*設定!$B$4</f>
        <v/>
      </c>
      <c r="Q50" s="3">
        <f>O50/C50</f>
        <v/>
      </c>
      <c r="R50" s="3">
        <f>P50/C50</f>
        <v/>
      </c>
    </row>
    <row r="51">
      <c r="A51" t="inlineStr">
        <is>
          <t>S4-K-YS0261225A</t>
        </is>
      </c>
      <c r="B51" t="inlineStr">
        <is>
          <t>2026/12/25</t>
        </is>
      </c>
      <c r="C51" t="n">
        <v>13</v>
      </c>
      <c r="D51" s="3" t="n">
        <v>548800</v>
      </c>
      <c r="E51" s="3" t="n">
        <v>31600</v>
      </c>
      <c r="F51" s="3" t="n">
        <v>39</v>
      </c>
      <c r="G51" s="3" t="n">
        <v>13</v>
      </c>
      <c r="H51" s="3" t="n">
        <v>13</v>
      </c>
      <c r="I51" s="3" t="n">
        <v>13</v>
      </c>
      <c r="J51" s="3" t="n">
        <v>13</v>
      </c>
      <c r="K51" s="3" t="n">
        <v>26</v>
      </c>
      <c r="L51" s="3" t="n">
        <v>13</v>
      </c>
      <c r="M51" s="3">
        <f>F51*$B$5+G51*$B$6+H51*$B$7+I51*$B$8+J51*$B$9+K51*$B$10+L51*$B$11</f>
        <v/>
      </c>
      <c r="N51" s="3">
        <f>M51*設定!$B$5</f>
        <v/>
      </c>
      <c r="O51" s="3">
        <f>(D51-E51)*設定!$B$3-N51-((D51-E51)-N51)*設定!$B$4</f>
        <v/>
      </c>
      <c r="P51" s="3">
        <f>D51*設定!$B$3-N51-(D51-N51)*設定!$B$4</f>
        <v/>
      </c>
      <c r="Q51" s="3">
        <f>O51/C51</f>
        <v/>
      </c>
      <c r="R51" s="3">
        <f>P51/C51</f>
        <v/>
      </c>
    </row>
    <row r="52">
      <c r="A52" t="inlineStr">
        <is>
          <t>S4-K-YS0270103A</t>
        </is>
      </c>
      <c r="B52" t="inlineStr">
        <is>
          <t>2027/01/03</t>
        </is>
      </c>
      <c r="C52" t="n">
        <v>7</v>
      </c>
      <c r="D52" s="3" t="n">
        <v>248900</v>
      </c>
      <c r="E52" s="3" t="n">
        <v>15600</v>
      </c>
      <c r="F52" s="3" t="n">
        <v>21</v>
      </c>
      <c r="G52" s="3" t="n">
        <v>7</v>
      </c>
      <c r="H52" s="3" t="n">
        <v>7</v>
      </c>
      <c r="I52" s="3" t="n">
        <v>7</v>
      </c>
      <c r="J52" s="3" t="n">
        <v>7</v>
      </c>
      <c r="K52" s="3" t="n">
        <v>14</v>
      </c>
      <c r="L52" s="3" t="n">
        <v>7</v>
      </c>
      <c r="M52" s="3">
        <f>F52*$B$5+G52*$B$6+H52*$B$7+I52*$B$8+J52*$B$9+K52*$B$10+L52*$B$11</f>
        <v/>
      </c>
      <c r="N52" s="3">
        <f>M52*設定!$B$5</f>
        <v/>
      </c>
      <c r="O52" s="3">
        <f>(D52-E52)*設定!$B$3-N52-((D52-E52)-N52)*設定!$B$4</f>
        <v/>
      </c>
      <c r="P52" s="3">
        <f>D52*設定!$B$3-N52-(D52-N52)*設定!$B$4</f>
        <v/>
      </c>
      <c r="Q52" s="3">
        <f>O52/C52</f>
        <v/>
      </c>
      <c r="R52" s="3">
        <f>P52/C52</f>
        <v/>
      </c>
    </row>
    <row r="53">
      <c r="A53" t="inlineStr">
        <is>
          <t>S4-K-YS0270105A</t>
        </is>
      </c>
      <c r="B53" t="inlineStr">
        <is>
          <t>2027/01/05</t>
        </is>
      </c>
      <c r="C53" t="n">
        <v>6</v>
      </c>
      <c r="D53" s="3" t="n">
        <v>223400</v>
      </c>
      <c r="E53" s="3" t="n">
        <v>6000</v>
      </c>
      <c r="F53" s="3" t="n">
        <v>18</v>
      </c>
      <c r="G53" s="3" t="n">
        <v>8</v>
      </c>
      <c r="H53" s="3" t="n">
        <v>6</v>
      </c>
      <c r="I53" s="3" t="n">
        <v>6</v>
      </c>
      <c r="J53" s="3" t="n">
        <v>6</v>
      </c>
      <c r="K53" s="3" t="n">
        <v>12</v>
      </c>
      <c r="L53" s="3" t="n">
        <v>6</v>
      </c>
      <c r="M53" s="3">
        <f>F53*$B$5+G53*$B$6+H53*$B$7+I53*$B$8+J53*$B$9+K53*$B$10+L53*$B$11</f>
        <v/>
      </c>
      <c r="N53" s="3">
        <f>M53*設定!$B$5</f>
        <v/>
      </c>
      <c r="O53" s="3">
        <f>(D53-E53)*設定!$B$3-N53-((D53-E53)-N53)*設定!$B$4</f>
        <v/>
      </c>
      <c r="P53" s="3">
        <f>D53*設定!$B$3-N53-(D53-N53)*設定!$B$4</f>
        <v/>
      </c>
      <c r="Q53" s="3">
        <f>O53/C53</f>
        <v/>
      </c>
      <c r="R53" s="3">
        <f>P53/C53</f>
        <v/>
      </c>
    </row>
    <row r="54">
      <c r="A54" t="inlineStr">
        <is>
          <t>S4-K-YS0270106A</t>
        </is>
      </c>
      <c r="B54" t="inlineStr">
        <is>
          <t>2027/01/06</t>
        </is>
      </c>
      <c r="C54" t="n">
        <v>12</v>
      </c>
      <c r="D54" s="3" t="n">
        <v>440800</v>
      </c>
      <c r="E54" s="3" t="n">
        <v>26000</v>
      </c>
      <c r="F54" s="3" t="n">
        <v>36</v>
      </c>
      <c r="G54" s="3" t="n">
        <v>12</v>
      </c>
      <c r="H54" s="3" t="n">
        <v>12</v>
      </c>
      <c r="I54" s="3" t="n">
        <v>12</v>
      </c>
      <c r="J54" s="3" t="n">
        <v>12</v>
      </c>
      <c r="K54" s="3" t="n">
        <v>24</v>
      </c>
      <c r="L54" s="3" t="n">
        <v>12</v>
      </c>
      <c r="M54" s="3">
        <f>F54*$B$5+G54*$B$6+H54*$B$7+I54*$B$8+J54*$B$9+K54*$B$10+L54*$B$11</f>
        <v/>
      </c>
      <c r="N54" s="3">
        <f>M54*設定!$B$5</f>
        <v/>
      </c>
      <c r="O54" s="3">
        <f>(D54-E54)*設定!$B$3-N54-((D54-E54)-N54)*設定!$B$4</f>
        <v/>
      </c>
      <c r="P54" s="3">
        <f>D54*設定!$B$3-N54-(D54-N54)*設定!$B$4</f>
        <v/>
      </c>
      <c r="Q54" s="3">
        <f>O54/C54</f>
        <v/>
      </c>
      <c r="R54" s="3">
        <f>P54/C54</f>
        <v/>
      </c>
    </row>
    <row r="55">
      <c r="A55" t="inlineStr">
        <is>
          <t>S4-K-YS0270107A</t>
        </is>
      </c>
      <c r="B55" t="inlineStr">
        <is>
          <t>2027/01/07</t>
        </is>
      </c>
      <c r="C55" t="n">
        <v>4</v>
      </c>
      <c r="D55" s="3" t="n">
        <v>137600</v>
      </c>
      <c r="E55" s="3" t="n">
        <v>2000</v>
      </c>
      <c r="F55" s="3" t="n">
        <v>12</v>
      </c>
      <c r="G55" s="3" t="n">
        <v>4</v>
      </c>
      <c r="H55" s="3" t="n">
        <v>4</v>
      </c>
      <c r="I55" s="3" t="n">
        <v>4</v>
      </c>
      <c r="J55" s="3" t="n">
        <v>4</v>
      </c>
      <c r="K55" s="3" t="n">
        <v>8</v>
      </c>
      <c r="L55" s="3" t="n">
        <v>4</v>
      </c>
      <c r="M55" s="3">
        <f>F55*$B$5+G55*$B$6+H55*$B$7+I55*$B$8+J55*$B$9+K55*$B$10+L55*$B$11</f>
        <v/>
      </c>
      <c r="N55" s="3">
        <f>M55*設定!$B$5</f>
        <v/>
      </c>
      <c r="O55" s="3">
        <f>(D55-E55)*設定!$B$3-N55-((D55-E55)-N55)*設定!$B$4</f>
        <v/>
      </c>
      <c r="P55" s="3">
        <f>D55*設定!$B$3-N55-(D55-N55)*設定!$B$4</f>
        <v/>
      </c>
      <c r="Q55" s="3">
        <f>O55/C55</f>
        <v/>
      </c>
      <c r="R55" s="3">
        <f>P55/C55</f>
        <v/>
      </c>
    </row>
    <row r="56">
      <c r="A56" t="inlineStr">
        <is>
          <t>S4-K-YS0270108A</t>
        </is>
      </c>
      <c r="B56" t="inlineStr">
        <is>
          <t>2027/01/08</t>
        </is>
      </c>
      <c r="C56" t="n">
        <v>13</v>
      </c>
      <c r="D56" s="3" t="n">
        <v>464100</v>
      </c>
      <c r="E56" s="3" t="n">
        <v>16400</v>
      </c>
      <c r="F56" s="3" t="n">
        <v>39</v>
      </c>
      <c r="G56" s="3" t="n">
        <v>14</v>
      </c>
      <c r="H56" s="3" t="n">
        <v>13</v>
      </c>
      <c r="I56" s="3" t="n">
        <v>13</v>
      </c>
      <c r="J56" s="3" t="n">
        <v>13</v>
      </c>
      <c r="K56" s="3" t="n">
        <v>26</v>
      </c>
      <c r="L56" s="3" t="n">
        <v>13</v>
      </c>
      <c r="M56" s="3">
        <f>F56*$B$5+G56*$B$6+H56*$B$7+I56*$B$8+J56*$B$9+K56*$B$10+L56*$B$11</f>
        <v/>
      </c>
      <c r="N56" s="3">
        <f>M56*設定!$B$5</f>
        <v/>
      </c>
      <c r="O56" s="3">
        <f>(D56-E56)*設定!$B$3-N56-((D56-E56)-N56)*設定!$B$4</f>
        <v/>
      </c>
      <c r="P56" s="3">
        <f>D56*設定!$B$3-N56-(D56-N56)*設定!$B$4</f>
        <v/>
      </c>
      <c r="Q56" s="3">
        <f>O56/C56</f>
        <v/>
      </c>
      <c r="R56" s="3">
        <f>P56/C56</f>
        <v/>
      </c>
    </row>
    <row r="57">
      <c r="A57" t="inlineStr">
        <is>
          <t>S4-K-YS0270109A</t>
        </is>
      </c>
      <c r="B57" t="inlineStr">
        <is>
          <t>2027/01/09</t>
        </is>
      </c>
      <c r="C57" t="n">
        <v>9</v>
      </c>
      <c r="D57" s="3" t="n">
        <v>354500</v>
      </c>
      <c r="E57" s="3" t="n">
        <v>26400</v>
      </c>
      <c r="F57" s="3" t="n">
        <v>30</v>
      </c>
      <c r="G57" s="3" t="n">
        <v>12</v>
      </c>
      <c r="H57" s="3" t="n">
        <v>9</v>
      </c>
      <c r="I57" s="3" t="n">
        <v>9</v>
      </c>
      <c r="J57" s="3" t="n">
        <v>9</v>
      </c>
      <c r="K57" s="3" t="n">
        <v>21</v>
      </c>
      <c r="L57" s="3" t="n">
        <v>9</v>
      </c>
      <c r="M57" s="3">
        <f>F57*$B$5+G57*$B$6+H57*$B$7+I57*$B$8+J57*$B$9+K57*$B$10+L57*$B$11</f>
        <v/>
      </c>
      <c r="N57" s="3">
        <f>M57*設定!$B$5</f>
        <v/>
      </c>
      <c r="O57" s="3">
        <f>(D57-E57)*設定!$B$3-N57-((D57-E57)-N57)*設定!$B$4</f>
        <v/>
      </c>
      <c r="P57" s="3">
        <f>D57*設定!$B$3-N57-(D57-N57)*設定!$B$4</f>
        <v/>
      </c>
      <c r="Q57" s="3">
        <f>O57/C57</f>
        <v/>
      </c>
      <c r="R57" s="3">
        <f>P57/C57</f>
        <v/>
      </c>
    </row>
    <row r="58">
      <c r="A58" t="inlineStr">
        <is>
          <t>S4-K-YS0270110A</t>
        </is>
      </c>
      <c r="B58" t="inlineStr">
        <is>
          <t>2027/01/10</t>
        </is>
      </c>
      <c r="C58" t="n">
        <v>4</v>
      </c>
      <c r="D58" s="3" t="n">
        <v>143200</v>
      </c>
      <c r="E58" s="3" t="n">
        <v>5600</v>
      </c>
      <c r="F58" s="3" t="n">
        <v>12</v>
      </c>
      <c r="G58" s="3" t="n">
        <v>4</v>
      </c>
      <c r="H58" s="3" t="n">
        <v>4</v>
      </c>
      <c r="I58" s="3" t="n">
        <v>4</v>
      </c>
      <c r="J58" s="3" t="n">
        <v>4</v>
      </c>
      <c r="K58" s="3" t="n">
        <v>8</v>
      </c>
      <c r="L58" s="3" t="n">
        <v>4</v>
      </c>
      <c r="M58" s="3">
        <f>F58*$B$5+G58*$B$6+H58*$B$7+I58*$B$8+J58*$B$9+K58*$B$10+L58*$B$11</f>
        <v/>
      </c>
      <c r="N58" s="3">
        <f>M58*設定!$B$5</f>
        <v/>
      </c>
      <c r="O58" s="3">
        <f>(D58-E58)*設定!$B$3-N58-((D58-E58)-N58)*設定!$B$4</f>
        <v/>
      </c>
      <c r="P58" s="3">
        <f>D58*設定!$B$3-N58-(D58-N58)*設定!$B$4</f>
        <v/>
      </c>
      <c r="Q58" s="3">
        <f>O58/C58</f>
        <v/>
      </c>
      <c r="R58" s="3">
        <f>P58/C58</f>
        <v/>
      </c>
    </row>
    <row r="59">
      <c r="A59" t="inlineStr">
        <is>
          <t>S4-K-YS0270111A</t>
        </is>
      </c>
      <c r="B59" t="inlineStr">
        <is>
          <t>2027/01/11</t>
        </is>
      </c>
      <c r="C59" t="n">
        <v>14</v>
      </c>
      <c r="D59" s="3" t="n">
        <v>511000</v>
      </c>
      <c r="E59" s="3" t="n">
        <v>16400</v>
      </c>
      <c r="F59" s="3" t="n">
        <v>42</v>
      </c>
      <c r="G59" s="3" t="n">
        <v>26</v>
      </c>
      <c r="H59" s="3" t="n">
        <v>14</v>
      </c>
      <c r="I59" s="3" t="n">
        <v>14</v>
      </c>
      <c r="J59" s="3" t="n">
        <v>14</v>
      </c>
      <c r="K59" s="3" t="n">
        <v>28</v>
      </c>
      <c r="L59" s="3" t="n">
        <v>14</v>
      </c>
      <c r="M59" s="3">
        <f>F59*$B$5+G59*$B$6+H59*$B$7+I59*$B$8+J59*$B$9+K59*$B$10+L59*$B$11</f>
        <v/>
      </c>
      <c r="N59" s="3">
        <f>M59*設定!$B$5</f>
        <v/>
      </c>
      <c r="O59" s="3">
        <f>(D59-E59)*設定!$B$3-N59-((D59-E59)-N59)*設定!$B$4</f>
        <v/>
      </c>
      <c r="P59" s="3">
        <f>D59*設定!$B$3-N59-(D59-N59)*設定!$B$4</f>
        <v/>
      </c>
      <c r="Q59" s="3">
        <f>O59/C59</f>
        <v/>
      </c>
      <c r="R59" s="3">
        <f>P59/C59</f>
        <v/>
      </c>
    </row>
    <row r="60">
      <c r="A60" t="inlineStr">
        <is>
          <t>S4-K-YS0270112A</t>
        </is>
      </c>
      <c r="B60" t="inlineStr">
        <is>
          <t>2027/01/12</t>
        </is>
      </c>
      <c r="C60" t="n">
        <v>15</v>
      </c>
      <c r="D60" s="3" t="n">
        <v>527500</v>
      </c>
      <c r="E60" s="3" t="n">
        <v>32000</v>
      </c>
      <c r="F60" s="3" t="n">
        <v>45</v>
      </c>
      <c r="G60" s="3" t="n">
        <v>15</v>
      </c>
      <c r="H60" s="3" t="n">
        <v>15</v>
      </c>
      <c r="I60" s="3" t="n">
        <v>15</v>
      </c>
      <c r="J60" s="3" t="n">
        <v>15</v>
      </c>
      <c r="K60" s="3" t="n">
        <v>30</v>
      </c>
      <c r="L60" s="3" t="n">
        <v>15</v>
      </c>
      <c r="M60" s="3">
        <f>F60*$B$5+G60*$B$6+H60*$B$7+I60*$B$8+J60*$B$9+K60*$B$10+L60*$B$11</f>
        <v/>
      </c>
      <c r="N60" s="3">
        <f>M60*設定!$B$5</f>
        <v/>
      </c>
      <c r="O60" s="3">
        <f>(D60-E60)*設定!$B$3-N60-((D60-E60)-N60)*設定!$B$4</f>
        <v/>
      </c>
      <c r="P60" s="3">
        <f>D60*設定!$B$3-N60-(D60-N60)*設定!$B$4</f>
        <v/>
      </c>
      <c r="Q60" s="3">
        <f>O60/C60</f>
        <v/>
      </c>
      <c r="R60" s="3">
        <f>P60/C60</f>
        <v/>
      </c>
    </row>
    <row r="61">
      <c r="A61" t="inlineStr">
        <is>
          <t>S4-K-YS0270113A</t>
        </is>
      </c>
      <c r="B61" t="inlineStr">
        <is>
          <t>2027/01/13</t>
        </is>
      </c>
      <c r="C61" t="n">
        <v>8</v>
      </c>
      <c r="D61" s="3" t="n">
        <v>303000</v>
      </c>
      <c r="E61" s="3" t="n">
        <v>14800</v>
      </c>
      <c r="F61" s="3" t="n">
        <v>24</v>
      </c>
      <c r="G61" s="3" t="n">
        <v>8</v>
      </c>
      <c r="H61" s="3" t="n">
        <v>8</v>
      </c>
      <c r="I61" s="3" t="n">
        <v>8</v>
      </c>
      <c r="J61" s="3" t="n">
        <v>8</v>
      </c>
      <c r="K61" s="3" t="n">
        <v>16</v>
      </c>
      <c r="L61" s="3" t="n">
        <v>8</v>
      </c>
      <c r="M61" s="3">
        <f>F61*$B$5+G61*$B$6+H61*$B$7+I61*$B$8+J61*$B$9+K61*$B$10+L61*$B$11</f>
        <v/>
      </c>
      <c r="N61" s="3">
        <f>M61*設定!$B$5</f>
        <v/>
      </c>
      <c r="O61" s="3">
        <f>(D61-E61)*設定!$B$3-N61-((D61-E61)-N61)*設定!$B$4</f>
        <v/>
      </c>
      <c r="P61" s="3">
        <f>D61*設定!$B$3-N61-(D61-N61)*設定!$B$4</f>
        <v/>
      </c>
      <c r="Q61" s="3">
        <f>O61/C61</f>
        <v/>
      </c>
      <c r="R61" s="3">
        <f>P61/C61</f>
        <v/>
      </c>
    </row>
    <row r="62">
      <c r="A62" t="inlineStr">
        <is>
          <t>S4-K-YS0270114A</t>
        </is>
      </c>
      <c r="B62" t="inlineStr">
        <is>
          <t>2027/01/14</t>
        </is>
      </c>
      <c r="C62" t="n">
        <v>12</v>
      </c>
      <c r="D62" s="3" t="n">
        <v>431600</v>
      </c>
      <c r="E62" s="3" t="n">
        <v>28800</v>
      </c>
      <c r="F62" s="3" t="n">
        <v>36</v>
      </c>
      <c r="G62" s="3" t="n">
        <v>12</v>
      </c>
      <c r="H62" s="3" t="n">
        <v>12</v>
      </c>
      <c r="I62" s="3" t="n">
        <v>12</v>
      </c>
      <c r="J62" s="3" t="n">
        <v>12</v>
      </c>
      <c r="K62" s="3" t="n">
        <v>24</v>
      </c>
      <c r="L62" s="3" t="n">
        <v>12</v>
      </c>
      <c r="M62" s="3">
        <f>F62*$B$5+G62*$B$6+H62*$B$7+I62*$B$8+J62*$B$9+K62*$B$10+L62*$B$11</f>
        <v/>
      </c>
      <c r="N62" s="3">
        <f>M62*設定!$B$5</f>
        <v/>
      </c>
      <c r="O62" s="3">
        <f>(D62-E62)*設定!$B$3-N62-((D62-E62)-N62)*設定!$B$4</f>
        <v/>
      </c>
      <c r="P62" s="3">
        <f>D62*設定!$B$3-N62-(D62-N62)*設定!$B$4</f>
        <v/>
      </c>
      <c r="Q62" s="3">
        <f>O62/C62</f>
        <v/>
      </c>
      <c r="R62" s="3">
        <f>P62/C62</f>
        <v/>
      </c>
    </row>
    <row r="63">
      <c r="A63" t="inlineStr">
        <is>
          <t>S4-K-YS0270115A</t>
        </is>
      </c>
      <c r="B63" t="inlineStr">
        <is>
          <t>2027/01/15</t>
        </is>
      </c>
      <c r="C63" t="n">
        <v>11</v>
      </c>
      <c r="D63" s="3" t="n">
        <v>401500</v>
      </c>
      <c r="E63" s="3" t="n">
        <v>29600</v>
      </c>
      <c r="F63" s="3" t="n">
        <v>33</v>
      </c>
      <c r="G63" s="3" t="n">
        <v>13</v>
      </c>
      <c r="H63" s="3" t="n">
        <v>11</v>
      </c>
      <c r="I63" s="3" t="n">
        <v>11</v>
      </c>
      <c r="J63" s="3" t="n">
        <v>11</v>
      </c>
      <c r="K63" s="3" t="n">
        <v>22</v>
      </c>
      <c r="L63" s="3" t="n">
        <v>11</v>
      </c>
      <c r="M63" s="3">
        <f>F63*$B$5+G63*$B$6+H63*$B$7+I63*$B$8+J63*$B$9+K63*$B$10+L63*$B$11</f>
        <v/>
      </c>
      <c r="N63" s="3">
        <f>M63*設定!$B$5</f>
        <v/>
      </c>
      <c r="O63" s="3">
        <f>(D63-E63)*設定!$B$3-N63-((D63-E63)-N63)*設定!$B$4</f>
        <v/>
      </c>
      <c r="P63" s="3">
        <f>D63*設定!$B$3-N63-(D63-N63)*設定!$B$4</f>
        <v/>
      </c>
      <c r="Q63" s="3">
        <f>O63/C63</f>
        <v/>
      </c>
      <c r="R63" s="3">
        <f>P63/C63</f>
        <v/>
      </c>
    </row>
    <row r="64">
      <c r="A64" t="inlineStr">
        <is>
          <t>S4-K-YS0270116A</t>
        </is>
      </c>
      <c r="B64" t="inlineStr">
        <is>
          <t>2027/01/16</t>
        </is>
      </c>
      <c r="C64" t="n">
        <v>6</v>
      </c>
      <c r="D64" s="3" t="n">
        <v>253000</v>
      </c>
      <c r="E64" s="3" t="n">
        <v>9600</v>
      </c>
      <c r="F64" s="3" t="n">
        <v>19</v>
      </c>
      <c r="G64" s="3" t="n">
        <v>7</v>
      </c>
      <c r="H64" s="3" t="n">
        <v>6</v>
      </c>
      <c r="I64" s="3" t="n">
        <v>6</v>
      </c>
      <c r="J64" s="3" t="n">
        <v>6</v>
      </c>
      <c r="K64" s="3" t="n">
        <v>13</v>
      </c>
      <c r="L64" s="3" t="n">
        <v>6</v>
      </c>
      <c r="M64" s="3">
        <f>F64*$B$5+G64*$B$6+H64*$B$7+I64*$B$8+J64*$B$9+K64*$B$10+L64*$B$11</f>
        <v/>
      </c>
      <c r="N64" s="3">
        <f>M64*設定!$B$5</f>
        <v/>
      </c>
      <c r="O64" s="3">
        <f>(D64-E64)*設定!$B$3-N64-((D64-E64)-N64)*設定!$B$4</f>
        <v/>
      </c>
      <c r="P64" s="3">
        <f>D64*設定!$B$3-N64-(D64-N64)*設定!$B$4</f>
        <v/>
      </c>
      <c r="Q64" s="3">
        <f>O64/C64</f>
        <v/>
      </c>
      <c r="R64" s="3">
        <f>P64/C64</f>
        <v/>
      </c>
    </row>
    <row r="65">
      <c r="A65" t="inlineStr">
        <is>
          <t>S4-K-YS0270117A</t>
        </is>
      </c>
      <c r="B65" t="inlineStr">
        <is>
          <t>2027/01/17</t>
        </is>
      </c>
      <c r="C65" t="n">
        <v>6</v>
      </c>
      <c r="D65" s="3" t="n">
        <v>217200</v>
      </c>
      <c r="E65" s="3" t="n">
        <v>9200</v>
      </c>
      <c r="F65" s="3" t="n">
        <v>18</v>
      </c>
      <c r="G65" s="3" t="n">
        <v>7</v>
      </c>
      <c r="H65" s="3" t="n">
        <v>6</v>
      </c>
      <c r="I65" s="3" t="n">
        <v>6</v>
      </c>
      <c r="J65" s="3" t="n">
        <v>6</v>
      </c>
      <c r="K65" s="3" t="n">
        <v>12</v>
      </c>
      <c r="L65" s="3" t="n">
        <v>6</v>
      </c>
      <c r="M65" s="3">
        <f>F65*$B$5+G65*$B$6+H65*$B$7+I65*$B$8+J65*$B$9+K65*$B$10+L65*$B$11</f>
        <v/>
      </c>
      <c r="N65" s="3">
        <f>M65*設定!$B$5</f>
        <v/>
      </c>
      <c r="O65" s="3">
        <f>(D65-E65)*設定!$B$3-N65-((D65-E65)-N65)*設定!$B$4</f>
        <v/>
      </c>
      <c r="P65" s="3">
        <f>D65*設定!$B$3-N65-(D65-N65)*設定!$B$4</f>
        <v/>
      </c>
      <c r="Q65" s="3">
        <f>O65/C65</f>
        <v/>
      </c>
      <c r="R65" s="3">
        <f>P65/C65</f>
        <v/>
      </c>
    </row>
    <row r="66">
      <c r="A66" t="inlineStr">
        <is>
          <t>S4-K-YS0270118A</t>
        </is>
      </c>
      <c r="B66" t="inlineStr">
        <is>
          <t>2027/01/18</t>
        </is>
      </c>
      <c r="C66" t="n">
        <v>12</v>
      </c>
      <c r="D66" s="3" t="n">
        <v>493000</v>
      </c>
      <c r="E66" s="3" t="n">
        <v>27600</v>
      </c>
      <c r="F66" s="3" t="n">
        <v>46</v>
      </c>
      <c r="G66" s="3" t="n">
        <v>12</v>
      </c>
      <c r="H66" s="3" t="n">
        <v>12</v>
      </c>
      <c r="I66" s="3" t="n">
        <v>12</v>
      </c>
      <c r="J66" s="3" t="n">
        <v>12</v>
      </c>
      <c r="K66" s="3" t="n">
        <v>34</v>
      </c>
      <c r="L66" s="3" t="n">
        <v>12</v>
      </c>
      <c r="M66" s="3">
        <f>F66*$B$5+G66*$B$6+H66*$B$7+I66*$B$8+J66*$B$9+K66*$B$10+L66*$B$11</f>
        <v/>
      </c>
      <c r="N66" s="3">
        <f>M66*設定!$B$5</f>
        <v/>
      </c>
      <c r="O66" s="3">
        <f>(D66-E66)*設定!$B$3-N66-((D66-E66)-N66)*設定!$B$4</f>
        <v/>
      </c>
      <c r="P66" s="3">
        <f>D66*設定!$B$3-N66-(D66-N66)*設定!$B$4</f>
        <v/>
      </c>
      <c r="Q66" s="3">
        <f>O66/C66</f>
        <v/>
      </c>
      <c r="R66" s="3">
        <f>P66/C66</f>
        <v/>
      </c>
    </row>
    <row r="67">
      <c r="A67" t="inlineStr">
        <is>
          <t>S4-K-YS0270119A</t>
        </is>
      </c>
      <c r="B67" t="inlineStr">
        <is>
          <t>2027/01/19</t>
        </is>
      </c>
      <c r="C67" t="n">
        <v>12</v>
      </c>
      <c r="D67" s="3" t="n">
        <v>441400</v>
      </c>
      <c r="E67" s="3" t="n">
        <v>14400</v>
      </c>
      <c r="F67" s="3" t="n">
        <v>40</v>
      </c>
      <c r="G67" s="3" t="n">
        <v>12</v>
      </c>
      <c r="H67" s="3" t="n">
        <v>12</v>
      </c>
      <c r="I67" s="3" t="n">
        <v>12</v>
      </c>
      <c r="J67" s="3" t="n">
        <v>12</v>
      </c>
      <c r="K67" s="3" t="n">
        <v>28</v>
      </c>
      <c r="L67" s="3" t="n">
        <v>12</v>
      </c>
      <c r="M67" s="3">
        <f>F67*$B$5+G67*$B$6+H67*$B$7+I67*$B$8+J67*$B$9+K67*$B$10+L67*$B$11</f>
        <v/>
      </c>
      <c r="N67" s="3">
        <f>M67*設定!$B$5</f>
        <v/>
      </c>
      <c r="O67" s="3">
        <f>(D67-E67)*設定!$B$3-N67-((D67-E67)-N67)*設定!$B$4</f>
        <v/>
      </c>
      <c r="P67" s="3">
        <f>D67*設定!$B$3-N67-(D67-N67)*設定!$B$4</f>
        <v/>
      </c>
      <c r="Q67" s="3">
        <f>O67/C67</f>
        <v/>
      </c>
      <c r="R67" s="3">
        <f>P67/C67</f>
        <v/>
      </c>
    </row>
    <row r="68">
      <c r="A68" t="inlineStr">
        <is>
          <t>S4-K-YS0270120A</t>
        </is>
      </c>
      <c r="B68" t="inlineStr">
        <is>
          <t>2027/01/20</t>
        </is>
      </c>
      <c r="C68" t="n">
        <v>7</v>
      </c>
      <c r="D68" s="3" t="n">
        <v>235300</v>
      </c>
      <c r="E68" s="3" t="n">
        <v>0</v>
      </c>
      <c r="F68" s="3" t="n">
        <v>21</v>
      </c>
      <c r="G68" s="3" t="n">
        <v>7</v>
      </c>
      <c r="H68" s="3" t="n">
        <v>7</v>
      </c>
      <c r="I68" s="3" t="n">
        <v>7</v>
      </c>
      <c r="J68" s="3" t="n">
        <v>7</v>
      </c>
      <c r="K68" s="3" t="n">
        <v>14</v>
      </c>
      <c r="L68" s="3" t="n">
        <v>7</v>
      </c>
      <c r="M68" s="3">
        <f>F68*$B$5+G68*$B$6+H68*$B$7+I68*$B$8+J68*$B$9+K68*$B$10+L68*$B$11</f>
        <v/>
      </c>
      <c r="N68" s="3">
        <f>M68*設定!$B$5</f>
        <v/>
      </c>
      <c r="O68" s="3">
        <f>(D68-E68)*設定!$B$3-N68-((D68-E68)-N68)*設定!$B$4</f>
        <v/>
      </c>
      <c r="P68" s="3">
        <f>D68*設定!$B$3-N68-(D68-N68)*設定!$B$4</f>
        <v/>
      </c>
      <c r="Q68" s="3">
        <f>O68/C68</f>
        <v/>
      </c>
      <c r="R68" s="3">
        <f>P68/C68</f>
        <v/>
      </c>
    </row>
    <row r="69">
      <c r="A69" t="inlineStr">
        <is>
          <t>S4-K-YS0270121A</t>
        </is>
      </c>
      <c r="B69" t="inlineStr">
        <is>
          <t>2027/01/21</t>
        </is>
      </c>
      <c r="C69" t="n">
        <v>4</v>
      </c>
      <c r="D69" s="3" t="n">
        <v>147600</v>
      </c>
      <c r="E69" s="3" t="n">
        <v>0</v>
      </c>
      <c r="F69" s="3" t="n">
        <v>12</v>
      </c>
      <c r="G69" s="3" t="n">
        <v>4</v>
      </c>
      <c r="H69" s="3" t="n">
        <v>4</v>
      </c>
      <c r="I69" s="3" t="n">
        <v>4</v>
      </c>
      <c r="J69" s="3" t="n">
        <v>4</v>
      </c>
      <c r="K69" s="3" t="n">
        <v>8</v>
      </c>
      <c r="L69" s="3" t="n">
        <v>4</v>
      </c>
      <c r="M69" s="3">
        <f>F69*$B$5+G69*$B$6+H69*$B$7+I69*$B$8+J69*$B$9+K69*$B$10+L69*$B$11</f>
        <v/>
      </c>
      <c r="N69" s="3">
        <f>M69*設定!$B$5</f>
        <v/>
      </c>
      <c r="O69" s="3">
        <f>(D69-E69)*設定!$B$3-N69-((D69-E69)-N69)*設定!$B$4</f>
        <v/>
      </c>
      <c r="P69" s="3">
        <f>D69*設定!$B$3-N69-(D69-N69)*設定!$B$4</f>
        <v/>
      </c>
      <c r="Q69" s="3">
        <f>O69/C69</f>
        <v/>
      </c>
      <c r="R69" s="3">
        <f>P69/C69</f>
        <v/>
      </c>
    </row>
    <row r="70">
      <c r="A70" t="inlineStr">
        <is>
          <t>S4-K-YS0270122A</t>
        </is>
      </c>
      <c r="B70" t="inlineStr">
        <is>
          <t>2027/01/22</t>
        </is>
      </c>
      <c r="C70" t="n">
        <v>8</v>
      </c>
      <c r="D70" s="3" t="n">
        <v>295600</v>
      </c>
      <c r="E70" s="3" t="n">
        <v>2400</v>
      </c>
      <c r="F70" s="3" t="n">
        <v>24</v>
      </c>
      <c r="G70" s="3" t="n">
        <v>8</v>
      </c>
      <c r="H70" s="3" t="n">
        <v>8</v>
      </c>
      <c r="I70" s="3" t="n">
        <v>8</v>
      </c>
      <c r="J70" s="3" t="n">
        <v>8</v>
      </c>
      <c r="K70" s="3" t="n">
        <v>16</v>
      </c>
      <c r="L70" s="3" t="n">
        <v>8</v>
      </c>
      <c r="M70" s="3">
        <f>F70*$B$5+G70*$B$6+H70*$B$7+I70*$B$8+J70*$B$9+K70*$B$10+L70*$B$11</f>
        <v/>
      </c>
      <c r="N70" s="3">
        <f>M70*設定!$B$5</f>
        <v/>
      </c>
      <c r="O70" s="3">
        <f>(D70-E70)*設定!$B$3-N70-((D70-E70)-N70)*設定!$B$4</f>
        <v/>
      </c>
      <c r="P70" s="3">
        <f>D70*設定!$B$3-N70-(D70-N70)*設定!$B$4</f>
        <v/>
      </c>
      <c r="Q70" s="3">
        <f>O70/C70</f>
        <v/>
      </c>
      <c r="R70" s="3">
        <f>P70/C70</f>
        <v/>
      </c>
    </row>
    <row r="71">
      <c r="A71" t="inlineStr">
        <is>
          <t>S4-K-YS0270123A</t>
        </is>
      </c>
      <c r="B71" t="inlineStr">
        <is>
          <t>2027/01/23</t>
        </is>
      </c>
      <c r="C71" t="n">
        <v>12</v>
      </c>
      <c r="D71" s="3" t="n">
        <v>456800</v>
      </c>
      <c r="E71" s="3" t="n">
        <v>8000</v>
      </c>
      <c r="F71" s="3" t="n">
        <v>36</v>
      </c>
      <c r="G71" s="3" t="n">
        <v>12</v>
      </c>
      <c r="H71" s="3" t="n">
        <v>12</v>
      </c>
      <c r="I71" s="3" t="n">
        <v>12</v>
      </c>
      <c r="J71" s="3" t="n">
        <v>12</v>
      </c>
      <c r="K71" s="3" t="n">
        <v>24</v>
      </c>
      <c r="L71" s="3" t="n">
        <v>12</v>
      </c>
      <c r="M71" s="3">
        <f>F71*$B$5+G71*$B$6+H71*$B$7+I71*$B$8+J71*$B$9+K71*$B$10+L71*$B$11</f>
        <v/>
      </c>
      <c r="N71" s="3">
        <f>M71*設定!$B$5</f>
        <v/>
      </c>
      <c r="O71" s="3">
        <f>(D71-E71)*設定!$B$3-N71-((D71-E71)-N71)*設定!$B$4</f>
        <v/>
      </c>
      <c r="P71" s="3">
        <f>D71*設定!$B$3-N71-(D71-N71)*設定!$B$4</f>
        <v/>
      </c>
      <c r="Q71" s="3">
        <f>O71/C71</f>
        <v/>
      </c>
      <c r="R71" s="3">
        <f>P71/C71</f>
        <v/>
      </c>
    </row>
    <row r="72">
      <c r="A72" t="inlineStr">
        <is>
          <t>S4-K-YS0270124A</t>
        </is>
      </c>
      <c r="B72" t="inlineStr">
        <is>
          <t>2027/01/24</t>
        </is>
      </c>
      <c r="C72" t="n">
        <v>12</v>
      </c>
      <c r="D72" s="3" t="n">
        <v>449800</v>
      </c>
      <c r="E72" s="3" t="n">
        <v>0</v>
      </c>
      <c r="F72" s="3" t="n">
        <v>36</v>
      </c>
      <c r="G72" s="3" t="n">
        <v>12</v>
      </c>
      <c r="H72" s="3" t="n">
        <v>12</v>
      </c>
      <c r="I72" s="3" t="n">
        <v>12</v>
      </c>
      <c r="J72" s="3" t="n">
        <v>12</v>
      </c>
      <c r="K72" s="3" t="n">
        <v>24</v>
      </c>
      <c r="L72" s="3" t="n">
        <v>12</v>
      </c>
      <c r="M72" s="3">
        <f>F72*$B$5+G72*$B$6+H72*$B$7+I72*$B$8+J72*$B$9+K72*$B$10+L72*$B$11</f>
        <v/>
      </c>
      <c r="N72" s="3">
        <f>M72*設定!$B$5</f>
        <v/>
      </c>
      <c r="O72" s="3">
        <f>(D72-E72)*設定!$B$3-N72-((D72-E72)-N72)*設定!$B$4</f>
        <v/>
      </c>
      <c r="P72" s="3">
        <f>D72*設定!$B$3-N72-(D72-N72)*設定!$B$4</f>
        <v/>
      </c>
      <c r="Q72" s="3">
        <f>O72/C72</f>
        <v/>
      </c>
      <c r="R72" s="3">
        <f>P72/C72</f>
        <v/>
      </c>
    </row>
    <row r="73">
      <c r="A73" t="inlineStr">
        <is>
          <t>S4-K-YS0270125A</t>
        </is>
      </c>
      <c r="B73" t="inlineStr">
        <is>
          <t>2027/01/25</t>
        </is>
      </c>
      <c r="C73" t="n">
        <v>6</v>
      </c>
      <c r="D73" s="3" t="n">
        <v>279000</v>
      </c>
      <c r="E73" s="3" t="n">
        <v>0</v>
      </c>
      <c r="F73" s="3" t="n">
        <v>22</v>
      </c>
      <c r="G73" s="3" t="n">
        <v>6</v>
      </c>
      <c r="H73" s="3" t="n">
        <v>6</v>
      </c>
      <c r="I73" s="3" t="n">
        <v>6</v>
      </c>
      <c r="J73" s="3" t="n">
        <v>6</v>
      </c>
      <c r="K73" s="3" t="n">
        <v>16</v>
      </c>
      <c r="L73" s="3" t="n">
        <v>6</v>
      </c>
      <c r="M73" s="3">
        <f>F73*$B$5+G73*$B$6+H73*$B$7+I73*$B$8+J73*$B$9+K73*$B$10+L73*$B$11</f>
        <v/>
      </c>
      <c r="N73" s="3">
        <f>M73*設定!$B$5</f>
        <v/>
      </c>
      <c r="O73" s="3">
        <f>(D73-E73)*設定!$B$3-N73-((D73-E73)-N73)*設定!$B$4</f>
        <v/>
      </c>
      <c r="P73" s="3">
        <f>D73*設定!$B$3-N73-(D73-N73)*設定!$B$4</f>
        <v/>
      </c>
      <c r="Q73" s="3">
        <f>O73/C73</f>
        <v/>
      </c>
      <c r="R73" s="3">
        <f>P73/C73</f>
        <v/>
      </c>
    </row>
    <row r="74">
      <c r="A74" t="inlineStr">
        <is>
          <t>S4-K-YS0270127A</t>
        </is>
      </c>
      <c r="B74" t="inlineStr">
        <is>
          <t>2027/01/27</t>
        </is>
      </c>
      <c r="C74" t="n">
        <v>4</v>
      </c>
      <c r="D74" s="3" t="n">
        <v>135600</v>
      </c>
      <c r="E74" s="3" t="n">
        <v>0</v>
      </c>
      <c r="F74" s="3" t="n">
        <v>12</v>
      </c>
      <c r="G74" s="3" t="n">
        <v>4</v>
      </c>
      <c r="H74" s="3" t="n">
        <v>4</v>
      </c>
      <c r="I74" s="3" t="n">
        <v>4</v>
      </c>
      <c r="J74" s="3" t="n">
        <v>4</v>
      </c>
      <c r="K74" s="3" t="n">
        <v>8</v>
      </c>
      <c r="L74" s="3" t="n">
        <v>4</v>
      </c>
      <c r="M74" s="3">
        <f>F74*$B$5+G74*$B$6+H74*$B$7+I74*$B$8+J74*$B$9+K74*$B$10+L74*$B$11</f>
        <v/>
      </c>
      <c r="N74" s="3">
        <f>M74*設定!$B$5</f>
        <v/>
      </c>
      <c r="O74" s="3">
        <f>(D74-E74)*設定!$B$3-N74-((D74-E74)-N74)*設定!$B$4</f>
        <v/>
      </c>
      <c r="P74" s="3">
        <f>D74*設定!$B$3-N74-(D74-N74)*設定!$B$4</f>
        <v/>
      </c>
      <c r="Q74" s="3">
        <f>O74/C74</f>
        <v/>
      </c>
      <c r="R74" s="3">
        <f>P74/C74</f>
        <v/>
      </c>
    </row>
    <row r="75">
      <c r="A75" t="inlineStr">
        <is>
          <t>S4-K-YS0270128A</t>
        </is>
      </c>
      <c r="B75" t="inlineStr">
        <is>
          <t>2027/01/28</t>
        </is>
      </c>
      <c r="C75" t="n">
        <v>4</v>
      </c>
      <c r="D75" s="3" t="n">
        <v>147600</v>
      </c>
      <c r="E75" s="3" t="n">
        <v>0</v>
      </c>
      <c r="F75" s="3" t="n">
        <v>12</v>
      </c>
      <c r="G75" s="3" t="n">
        <v>4</v>
      </c>
      <c r="H75" s="3" t="n">
        <v>4</v>
      </c>
      <c r="I75" s="3" t="n">
        <v>4</v>
      </c>
      <c r="J75" s="3" t="n">
        <v>4</v>
      </c>
      <c r="K75" s="3" t="n">
        <v>8</v>
      </c>
      <c r="L75" s="3" t="n">
        <v>4</v>
      </c>
      <c r="M75" s="3">
        <f>F75*$B$5+G75*$B$6+H75*$B$7+I75*$B$8+J75*$B$9+K75*$B$10+L75*$B$11</f>
        <v/>
      </c>
      <c r="N75" s="3">
        <f>M75*設定!$B$5</f>
        <v/>
      </c>
      <c r="O75" s="3">
        <f>(D75-E75)*設定!$B$3-N75-((D75-E75)-N75)*設定!$B$4</f>
        <v/>
      </c>
      <c r="P75" s="3">
        <f>D75*設定!$B$3-N75-(D75-N75)*設定!$B$4</f>
        <v/>
      </c>
      <c r="Q75" s="3">
        <f>O75/C75</f>
        <v/>
      </c>
      <c r="R75" s="3">
        <f>P75/C75</f>
        <v/>
      </c>
    </row>
    <row r="76">
      <c r="A76" t="inlineStr">
        <is>
          <t>S4-K-YS0270129A</t>
        </is>
      </c>
      <c r="B76" t="inlineStr">
        <is>
          <t>2027/01/29</t>
        </is>
      </c>
      <c r="C76" t="n">
        <v>8</v>
      </c>
      <c r="D76" s="3" t="n">
        <v>303600</v>
      </c>
      <c r="E76" s="3" t="n">
        <v>6400</v>
      </c>
      <c r="F76" s="3" t="n">
        <v>24</v>
      </c>
      <c r="G76" s="3" t="n">
        <v>8</v>
      </c>
      <c r="H76" s="3" t="n">
        <v>8</v>
      </c>
      <c r="I76" s="3" t="n">
        <v>8</v>
      </c>
      <c r="J76" s="3" t="n">
        <v>8</v>
      </c>
      <c r="K76" s="3" t="n">
        <v>16</v>
      </c>
      <c r="L76" s="3" t="n">
        <v>8</v>
      </c>
      <c r="M76" s="3">
        <f>F76*$B$5+G76*$B$6+H76*$B$7+I76*$B$8+J76*$B$9+K76*$B$10+L76*$B$11</f>
        <v/>
      </c>
      <c r="N76" s="3">
        <f>M76*設定!$B$5</f>
        <v/>
      </c>
      <c r="O76" s="3">
        <f>(D76-E76)*設定!$B$3-N76-((D76-E76)-N76)*設定!$B$4</f>
        <v/>
      </c>
      <c r="P76" s="3">
        <f>D76*設定!$B$3-N76-(D76-N76)*設定!$B$4</f>
        <v/>
      </c>
      <c r="Q76" s="3">
        <f>O76/C76</f>
        <v/>
      </c>
      <c r="R76" s="3">
        <f>P76/C76</f>
        <v/>
      </c>
    </row>
    <row r="77">
      <c r="A77" t="inlineStr">
        <is>
          <t>S4-K-YS0270130A</t>
        </is>
      </c>
      <c r="B77" t="inlineStr">
        <is>
          <t>2027/01/30</t>
        </is>
      </c>
      <c r="C77" t="n">
        <v>3</v>
      </c>
      <c r="D77" s="3" t="n">
        <v>121700</v>
      </c>
      <c r="E77" s="3" t="n">
        <v>0</v>
      </c>
      <c r="F77" s="3" t="n">
        <v>9</v>
      </c>
      <c r="G77" s="3" t="n">
        <v>3</v>
      </c>
      <c r="H77" s="3" t="n">
        <v>3</v>
      </c>
      <c r="I77" s="3" t="n">
        <v>3</v>
      </c>
      <c r="J77" s="3" t="n">
        <v>3</v>
      </c>
      <c r="K77" s="3" t="n">
        <v>6</v>
      </c>
      <c r="L77" s="3" t="n">
        <v>3</v>
      </c>
      <c r="M77" s="3">
        <f>F77*$B$5+G77*$B$6+H77*$B$7+I77*$B$8+J77*$B$9+K77*$B$10+L77*$B$11</f>
        <v/>
      </c>
      <c r="N77" s="3">
        <f>M77*設定!$B$5</f>
        <v/>
      </c>
      <c r="O77" s="3">
        <f>(D77-E77)*設定!$B$3-N77-((D77-E77)-N77)*設定!$B$4</f>
        <v/>
      </c>
      <c r="P77" s="3">
        <f>D77*設定!$B$3-N77-(D77-N77)*設定!$B$4</f>
        <v/>
      </c>
      <c r="Q77" s="3">
        <f>O77/C77</f>
        <v/>
      </c>
      <c r="R77" s="3">
        <f>P77/C77</f>
        <v/>
      </c>
    </row>
    <row r="78">
      <c r="A78" t="inlineStr">
        <is>
          <t>S4-K-YS0270203A</t>
        </is>
      </c>
      <c r="B78" t="inlineStr">
        <is>
          <t>2027/02/03</t>
        </is>
      </c>
      <c r="C78" t="n">
        <v>3</v>
      </c>
      <c r="D78" s="3" t="n">
        <v>98700</v>
      </c>
      <c r="E78" s="3" t="n">
        <v>0</v>
      </c>
      <c r="F78" s="3" t="n">
        <v>9</v>
      </c>
      <c r="G78" s="3" t="n">
        <v>3</v>
      </c>
      <c r="H78" s="3" t="n">
        <v>3</v>
      </c>
      <c r="I78" s="3" t="n">
        <v>3</v>
      </c>
      <c r="J78" s="3" t="n">
        <v>3</v>
      </c>
      <c r="K78" s="3" t="n">
        <v>6</v>
      </c>
      <c r="L78" s="3" t="n">
        <v>3</v>
      </c>
      <c r="M78" s="3">
        <f>F78*$B$5+G78*$B$6+H78*$B$7+I78*$B$8+J78*$B$9+K78*$B$10+L78*$B$11</f>
        <v/>
      </c>
      <c r="N78" s="3">
        <f>M78*設定!$B$5</f>
        <v/>
      </c>
      <c r="O78" s="3">
        <f>(D78-E78)*設定!$B$3-N78-((D78-E78)-N78)*設定!$B$4</f>
        <v/>
      </c>
      <c r="P78" s="3">
        <f>D78*設定!$B$3-N78-(D78-N78)*設定!$B$4</f>
        <v/>
      </c>
      <c r="Q78" s="3">
        <f>O78/C78</f>
        <v/>
      </c>
      <c r="R78" s="3">
        <f>P78/C78</f>
        <v/>
      </c>
    </row>
    <row r="79">
      <c r="A79" t="inlineStr">
        <is>
          <t>S4-K-YS0270210A</t>
        </is>
      </c>
      <c r="B79" t="inlineStr">
        <is>
          <t>2027/02/10</t>
        </is>
      </c>
      <c r="C79" t="n">
        <v>6</v>
      </c>
      <c r="D79" s="3" t="n">
        <v>239400</v>
      </c>
      <c r="E79" s="3" t="n">
        <v>0</v>
      </c>
      <c r="F79" s="3" t="n">
        <v>20</v>
      </c>
      <c r="G79" s="3" t="n">
        <v>6</v>
      </c>
      <c r="H79" s="3" t="n">
        <v>6</v>
      </c>
      <c r="I79" s="3" t="n">
        <v>6</v>
      </c>
      <c r="J79" s="3" t="n">
        <v>6</v>
      </c>
      <c r="K79" s="3" t="n">
        <v>14</v>
      </c>
      <c r="L79" s="3" t="n">
        <v>6</v>
      </c>
      <c r="M79" s="3">
        <f>F79*$B$5+G79*$B$6+H79*$B$7+I79*$B$8+J79*$B$9+K79*$B$10+L79*$B$11</f>
        <v/>
      </c>
      <c r="N79" s="3">
        <f>M79*設定!$B$5</f>
        <v/>
      </c>
      <c r="O79" s="3">
        <f>(D79-E79)*設定!$B$3-N79-((D79-E79)-N79)*設定!$B$4</f>
        <v/>
      </c>
      <c r="P79" s="3">
        <f>D79*設定!$B$3-N79-(D79-N79)*設定!$B$4</f>
        <v/>
      </c>
      <c r="Q79" s="3">
        <f>O79/C79</f>
        <v/>
      </c>
      <c r="R79" s="3">
        <f>P79/C79</f>
        <v/>
      </c>
    </row>
    <row r="80">
      <c r="A80" t="inlineStr">
        <is>
          <t>S4-K-YS0270211A</t>
        </is>
      </c>
      <c r="B80" t="inlineStr">
        <is>
          <t>2027/02/11</t>
        </is>
      </c>
      <c r="C80" t="n">
        <v>5</v>
      </c>
      <c r="D80" s="3" t="n">
        <v>169500</v>
      </c>
      <c r="E80" s="3" t="n">
        <v>0</v>
      </c>
      <c r="F80" s="3" t="n">
        <v>15</v>
      </c>
      <c r="G80" s="3" t="n">
        <v>5</v>
      </c>
      <c r="H80" s="3" t="n">
        <v>5</v>
      </c>
      <c r="I80" s="3" t="n">
        <v>5</v>
      </c>
      <c r="J80" s="3" t="n">
        <v>5</v>
      </c>
      <c r="K80" s="3" t="n">
        <v>10</v>
      </c>
      <c r="L80" s="3" t="n">
        <v>5</v>
      </c>
      <c r="M80" s="3">
        <f>F80*$B$5+G80*$B$6+H80*$B$7+I80*$B$8+J80*$B$9+K80*$B$10+L80*$B$11</f>
        <v/>
      </c>
      <c r="N80" s="3">
        <f>M80*設定!$B$5</f>
        <v/>
      </c>
      <c r="O80" s="3">
        <f>(D80-E80)*設定!$B$3-N80-((D80-E80)-N80)*設定!$B$4</f>
        <v/>
      </c>
      <c r="P80" s="3">
        <f>D80*設定!$B$3-N80-(D80-N80)*設定!$B$4</f>
        <v/>
      </c>
      <c r="Q80" s="3">
        <f>O80/C80</f>
        <v/>
      </c>
      <c r="R80" s="3">
        <f>P80/C80</f>
        <v/>
      </c>
    </row>
    <row r="81">
      <c r="A81" t="inlineStr">
        <is>
          <t>S4-K-YS0270212A</t>
        </is>
      </c>
      <c r="B81" t="inlineStr">
        <is>
          <t>2027/02/12</t>
        </is>
      </c>
      <c r="C81" t="n">
        <v>6</v>
      </c>
      <c r="D81" s="3" t="n">
        <v>196180</v>
      </c>
      <c r="E81" s="3" t="n">
        <v>0</v>
      </c>
      <c r="F81" s="3" t="n">
        <v>18</v>
      </c>
      <c r="G81" s="3" t="n">
        <v>6</v>
      </c>
      <c r="H81" s="3" t="n">
        <v>6</v>
      </c>
      <c r="I81" s="3" t="n">
        <v>6</v>
      </c>
      <c r="J81" s="3" t="n">
        <v>6</v>
      </c>
      <c r="K81" s="3" t="n">
        <v>12</v>
      </c>
      <c r="L81" s="3" t="n">
        <v>6</v>
      </c>
      <c r="M81" s="3">
        <f>F81*$B$5+G81*$B$6+H81*$B$7+I81*$B$8+J81*$B$9+K81*$B$10+L81*$B$11</f>
        <v/>
      </c>
      <c r="N81" s="3">
        <f>M81*設定!$B$5</f>
        <v/>
      </c>
      <c r="O81" s="3">
        <f>(D81-E81)*設定!$B$3-N81-((D81-E81)-N81)*設定!$B$4</f>
        <v/>
      </c>
      <c r="P81" s="3">
        <f>D81*設定!$B$3-N81-(D81-N81)*設定!$B$4</f>
        <v/>
      </c>
      <c r="Q81" s="3">
        <f>O81/C81</f>
        <v/>
      </c>
      <c r="R81" s="3">
        <f>P81/C81</f>
        <v/>
      </c>
    </row>
    <row r="82">
      <c r="A82" t="inlineStr">
        <is>
          <t>S4-K-YS0270213A</t>
        </is>
      </c>
      <c r="B82" t="inlineStr">
        <is>
          <t>2027/02/13</t>
        </is>
      </c>
      <c r="C82" t="n">
        <v>13</v>
      </c>
      <c r="D82" s="3" t="n">
        <v>450100</v>
      </c>
      <c r="E82" s="3" t="n">
        <v>8400</v>
      </c>
      <c r="F82" s="3" t="n">
        <v>39</v>
      </c>
      <c r="G82" s="3" t="n">
        <v>15</v>
      </c>
      <c r="H82" s="3" t="n">
        <v>13</v>
      </c>
      <c r="I82" s="3" t="n">
        <v>13</v>
      </c>
      <c r="J82" s="3" t="n">
        <v>13</v>
      </c>
      <c r="K82" s="3" t="n">
        <v>26</v>
      </c>
      <c r="L82" s="3" t="n">
        <v>13</v>
      </c>
      <c r="M82" s="3">
        <f>F82*$B$5+G82*$B$6+H82*$B$7+I82*$B$8+J82*$B$9+K82*$B$10+L82*$B$11</f>
        <v/>
      </c>
      <c r="N82" s="3">
        <f>M82*設定!$B$5</f>
        <v/>
      </c>
      <c r="O82" s="3">
        <f>(D82-E82)*設定!$B$3-N82-((D82-E82)-N82)*設定!$B$4</f>
        <v/>
      </c>
      <c r="P82" s="3">
        <f>D82*設定!$B$3-N82-(D82-N82)*設定!$B$4</f>
        <v/>
      </c>
      <c r="Q82" s="3">
        <f>O82/C82</f>
        <v/>
      </c>
      <c r="R82" s="3">
        <f>P82/C82</f>
        <v/>
      </c>
    </row>
    <row r="83">
      <c r="A83" t="inlineStr">
        <is>
          <t>S4-K-YS0270214A</t>
        </is>
      </c>
      <c r="B83" t="inlineStr">
        <is>
          <t>2027/02/14</t>
        </is>
      </c>
      <c r="C83" t="n">
        <v>3</v>
      </c>
      <c r="D83" s="3" t="n">
        <v>104700</v>
      </c>
      <c r="E83" s="3" t="n">
        <v>0</v>
      </c>
      <c r="F83" s="3" t="n">
        <v>9</v>
      </c>
      <c r="G83" s="3" t="n">
        <v>3</v>
      </c>
      <c r="H83" s="3" t="n">
        <v>3</v>
      </c>
      <c r="I83" s="3" t="n">
        <v>3</v>
      </c>
      <c r="J83" s="3" t="n">
        <v>3</v>
      </c>
      <c r="K83" s="3" t="n">
        <v>6</v>
      </c>
      <c r="L83" s="3" t="n">
        <v>3</v>
      </c>
      <c r="M83" s="3">
        <f>F83*$B$5+G83*$B$6+H83*$B$7+I83*$B$8+J83*$B$9+K83*$B$10+L83*$B$11</f>
        <v/>
      </c>
      <c r="N83" s="3">
        <f>M83*設定!$B$5</f>
        <v/>
      </c>
      <c r="O83" s="3">
        <f>(D83-E83)*設定!$B$3-N83-((D83-E83)-N83)*設定!$B$4</f>
        <v/>
      </c>
      <c r="P83" s="3">
        <f>D83*設定!$B$3-N83-(D83-N83)*設定!$B$4</f>
        <v/>
      </c>
      <c r="Q83" s="3">
        <f>O83/C83</f>
        <v/>
      </c>
      <c r="R83" s="3">
        <f>P83/C83</f>
        <v/>
      </c>
    </row>
    <row r="84">
      <c r="A84" t="inlineStr">
        <is>
          <t>S4-K-YS0270215A</t>
        </is>
      </c>
      <c r="B84" t="inlineStr">
        <is>
          <t>2027/02/15</t>
        </is>
      </c>
      <c r="C84" t="n">
        <v>7</v>
      </c>
      <c r="D84" s="3" t="n">
        <v>231700</v>
      </c>
      <c r="E84" s="3" t="n">
        <v>0</v>
      </c>
      <c r="F84" s="3" t="n">
        <v>21</v>
      </c>
      <c r="G84" s="3" t="n">
        <v>7</v>
      </c>
      <c r="H84" s="3" t="n">
        <v>7</v>
      </c>
      <c r="I84" s="3" t="n">
        <v>7</v>
      </c>
      <c r="J84" s="3" t="n">
        <v>7</v>
      </c>
      <c r="K84" s="3" t="n">
        <v>14</v>
      </c>
      <c r="L84" s="3" t="n">
        <v>7</v>
      </c>
      <c r="M84" s="3">
        <f>F84*$B$5+G84*$B$6+H84*$B$7+I84*$B$8+J84*$B$9+K84*$B$10+L84*$B$11</f>
        <v/>
      </c>
      <c r="N84" s="3">
        <f>M84*設定!$B$5</f>
        <v/>
      </c>
      <c r="O84" s="3">
        <f>(D84-E84)*設定!$B$3-N84-((D84-E84)-N84)*設定!$B$4</f>
        <v/>
      </c>
      <c r="P84" s="3">
        <f>D84*設定!$B$3-N84-(D84-N84)*設定!$B$4</f>
        <v/>
      </c>
      <c r="Q84" s="3">
        <f>O84/C84</f>
        <v/>
      </c>
      <c r="R84" s="3">
        <f>P84/C84</f>
        <v/>
      </c>
    </row>
    <row r="85">
      <c r="A85" t="inlineStr">
        <is>
          <t>S4-K-YS0270217A</t>
        </is>
      </c>
      <c r="B85" t="inlineStr">
        <is>
          <t>2027/02/17</t>
        </is>
      </c>
      <c r="C85" t="n">
        <v>12</v>
      </c>
      <c r="D85" s="3" t="n">
        <v>409800</v>
      </c>
      <c r="E85" s="3" t="n">
        <v>4000</v>
      </c>
      <c r="F85" s="3" t="n">
        <v>36</v>
      </c>
      <c r="G85" s="3" t="n">
        <v>12</v>
      </c>
      <c r="H85" s="3" t="n">
        <v>12</v>
      </c>
      <c r="I85" s="3" t="n">
        <v>12</v>
      </c>
      <c r="J85" s="3" t="n">
        <v>12</v>
      </c>
      <c r="K85" s="3" t="n">
        <v>24</v>
      </c>
      <c r="L85" s="3" t="n">
        <v>12</v>
      </c>
      <c r="M85" s="3">
        <f>F85*$B$5+G85*$B$6+H85*$B$7+I85*$B$8+J85*$B$9+K85*$B$10+L85*$B$11</f>
        <v/>
      </c>
      <c r="N85" s="3">
        <f>M85*設定!$B$5</f>
        <v/>
      </c>
      <c r="O85" s="3">
        <f>(D85-E85)*設定!$B$3-N85-((D85-E85)-N85)*設定!$B$4</f>
        <v/>
      </c>
      <c r="P85" s="3">
        <f>D85*設定!$B$3-N85-(D85-N85)*設定!$B$4</f>
        <v/>
      </c>
      <c r="Q85" s="3">
        <f>O85/C85</f>
        <v/>
      </c>
      <c r="R85" s="3">
        <f>P85/C85</f>
        <v/>
      </c>
    </row>
    <row r="86">
      <c r="A86" t="inlineStr">
        <is>
          <t>S4-K-YS0270218A</t>
        </is>
      </c>
      <c r="B86" t="inlineStr">
        <is>
          <t>2027/02/18</t>
        </is>
      </c>
      <c r="C86" t="n">
        <v>4</v>
      </c>
      <c r="D86" s="3" t="n">
        <v>143600</v>
      </c>
      <c r="E86" s="3" t="n">
        <v>0</v>
      </c>
      <c r="F86" s="3" t="n">
        <v>12</v>
      </c>
      <c r="G86" s="3" t="n">
        <v>8</v>
      </c>
      <c r="H86" s="3" t="n">
        <v>4</v>
      </c>
      <c r="I86" s="3" t="n">
        <v>4</v>
      </c>
      <c r="J86" s="3" t="n">
        <v>4</v>
      </c>
      <c r="K86" s="3" t="n">
        <v>8</v>
      </c>
      <c r="L86" s="3" t="n">
        <v>4</v>
      </c>
      <c r="M86" s="3">
        <f>F86*$B$5+G86*$B$6+H86*$B$7+I86*$B$8+J86*$B$9+K86*$B$10+L86*$B$11</f>
        <v/>
      </c>
      <c r="N86" s="3">
        <f>M86*設定!$B$5</f>
        <v/>
      </c>
      <c r="O86" s="3">
        <f>(D86-E86)*設定!$B$3-N86-((D86-E86)-N86)*設定!$B$4</f>
        <v/>
      </c>
      <c r="P86" s="3">
        <f>D86*設定!$B$3-N86-(D86-N86)*設定!$B$4</f>
        <v/>
      </c>
      <c r="Q86" s="3">
        <f>O86/C86</f>
        <v/>
      </c>
      <c r="R86" s="3">
        <f>P86/C86</f>
        <v/>
      </c>
    </row>
    <row r="87">
      <c r="A87" t="inlineStr">
        <is>
          <t>S4-K-YS0270220A</t>
        </is>
      </c>
      <c r="B87" t="inlineStr">
        <is>
          <t>2027/02/20</t>
        </is>
      </c>
      <c r="C87" t="n">
        <v>6</v>
      </c>
      <c r="D87" s="3" t="n">
        <v>209400</v>
      </c>
      <c r="E87" s="3" t="n">
        <v>0</v>
      </c>
      <c r="F87" s="3" t="n">
        <v>18</v>
      </c>
      <c r="G87" s="3" t="n">
        <v>6</v>
      </c>
      <c r="H87" s="3" t="n">
        <v>6</v>
      </c>
      <c r="I87" s="3" t="n">
        <v>6</v>
      </c>
      <c r="J87" s="3" t="n">
        <v>6</v>
      </c>
      <c r="K87" s="3" t="n">
        <v>12</v>
      </c>
      <c r="L87" s="3" t="n">
        <v>6</v>
      </c>
      <c r="M87" s="3">
        <f>F87*$B$5+G87*$B$6+H87*$B$7+I87*$B$8+J87*$B$9+K87*$B$10+L87*$B$11</f>
        <v/>
      </c>
      <c r="N87" s="3">
        <f>M87*設定!$B$5</f>
        <v/>
      </c>
      <c r="O87" s="3">
        <f>(D87-E87)*設定!$B$3-N87-((D87-E87)-N87)*設定!$B$4</f>
        <v/>
      </c>
      <c r="P87" s="3">
        <f>D87*設定!$B$3-N87-(D87-N87)*設定!$B$4</f>
        <v/>
      </c>
      <c r="Q87" s="3">
        <f>O87/C87</f>
        <v/>
      </c>
      <c r="R87" s="3">
        <f>P87/C87</f>
        <v/>
      </c>
    </row>
    <row r="88">
      <c r="A88" t="inlineStr">
        <is>
          <t>S4-K-YS0270221A</t>
        </is>
      </c>
      <c r="B88" t="inlineStr">
        <is>
          <t>2027/02/21</t>
        </is>
      </c>
      <c r="C88" t="n">
        <v>4</v>
      </c>
      <c r="D88" s="3" t="n">
        <v>129600</v>
      </c>
      <c r="E88" s="3" t="n">
        <v>0</v>
      </c>
      <c r="F88" s="3" t="n">
        <v>12</v>
      </c>
      <c r="G88" s="3" t="n">
        <v>4</v>
      </c>
      <c r="H88" s="3" t="n">
        <v>4</v>
      </c>
      <c r="I88" s="3" t="n">
        <v>4</v>
      </c>
      <c r="J88" s="3" t="n">
        <v>4</v>
      </c>
      <c r="K88" s="3" t="n">
        <v>8</v>
      </c>
      <c r="L88" s="3" t="n">
        <v>4</v>
      </c>
      <c r="M88" s="3">
        <f>F88*$B$5+G88*$B$6+H88*$B$7+I88*$B$8+J88*$B$9+K88*$B$10+L88*$B$11</f>
        <v/>
      </c>
      <c r="N88" s="3">
        <f>M88*設定!$B$5</f>
        <v/>
      </c>
      <c r="O88" s="3">
        <f>(D88-E88)*設定!$B$3-N88-((D88-E88)-N88)*設定!$B$4</f>
        <v/>
      </c>
      <c r="P88" s="3">
        <f>D88*設定!$B$3-N88-(D88-N88)*設定!$B$4</f>
        <v/>
      </c>
      <c r="Q88" s="3">
        <f>O88/C88</f>
        <v/>
      </c>
      <c r="R88" s="3">
        <f>P88/C88</f>
        <v/>
      </c>
    </row>
    <row r="89">
      <c r="A89" t="inlineStr">
        <is>
          <t>S4-K-YS0270222A</t>
        </is>
      </c>
      <c r="B89" t="inlineStr">
        <is>
          <t>2027/02/22</t>
        </is>
      </c>
      <c r="C89" t="n">
        <v>2</v>
      </c>
      <c r="D89" s="3" t="n">
        <v>69800</v>
      </c>
      <c r="E89" s="3" t="n">
        <v>0</v>
      </c>
      <c r="F89" s="3" t="n">
        <v>6</v>
      </c>
      <c r="G89" s="3" t="n">
        <v>2</v>
      </c>
      <c r="H89" s="3" t="n">
        <v>2</v>
      </c>
      <c r="I89" s="3" t="n">
        <v>2</v>
      </c>
      <c r="J89" s="3" t="n">
        <v>2</v>
      </c>
      <c r="K89" s="3" t="n">
        <v>4</v>
      </c>
      <c r="L89" s="3" t="n">
        <v>2</v>
      </c>
      <c r="M89" s="3">
        <f>F89*$B$5+G89*$B$6+H89*$B$7+I89*$B$8+J89*$B$9+K89*$B$10+L89*$B$11</f>
        <v/>
      </c>
      <c r="N89" s="3">
        <f>M89*設定!$B$5</f>
        <v/>
      </c>
      <c r="O89" s="3">
        <f>(D89-E89)*設定!$B$3-N89-((D89-E89)-N89)*設定!$B$4</f>
        <v/>
      </c>
      <c r="P89" s="3">
        <f>D89*設定!$B$3-N89-(D89-N89)*設定!$B$4</f>
        <v/>
      </c>
      <c r="Q89" s="3">
        <f>O89/C89</f>
        <v/>
      </c>
      <c r="R89" s="3">
        <f>P89/C89</f>
        <v/>
      </c>
    </row>
    <row r="90">
      <c r="A90" t="inlineStr">
        <is>
          <t>S4-K-YS0270223A</t>
        </is>
      </c>
      <c r="B90" t="inlineStr">
        <is>
          <t>2027/02/23</t>
        </is>
      </c>
      <c r="C90" t="n">
        <v>15</v>
      </c>
      <c r="D90" s="3" t="n">
        <v>544500</v>
      </c>
      <c r="E90" s="3" t="n">
        <v>2000</v>
      </c>
      <c r="F90" s="3" t="n">
        <v>51</v>
      </c>
      <c r="G90" s="3" t="n">
        <v>15</v>
      </c>
      <c r="H90" s="3" t="n">
        <v>15</v>
      </c>
      <c r="I90" s="3" t="n">
        <v>15</v>
      </c>
      <c r="J90" s="3" t="n">
        <v>15</v>
      </c>
      <c r="K90" s="3" t="n">
        <v>36</v>
      </c>
      <c r="L90" s="3" t="n">
        <v>15</v>
      </c>
      <c r="M90" s="3">
        <f>F90*$B$5+G90*$B$6+H90*$B$7+I90*$B$8+J90*$B$9+K90*$B$10+L90*$B$11</f>
        <v/>
      </c>
      <c r="N90" s="3">
        <f>M90*設定!$B$5</f>
        <v/>
      </c>
      <c r="O90" s="3">
        <f>(D90-E90)*設定!$B$3-N90-((D90-E90)-N90)*設定!$B$4</f>
        <v/>
      </c>
      <c r="P90" s="3">
        <f>D90*設定!$B$3-N90-(D90-N90)*設定!$B$4</f>
        <v/>
      </c>
      <c r="Q90" s="3">
        <f>O90/C90</f>
        <v/>
      </c>
      <c r="R90" s="3">
        <f>P90/C90</f>
        <v/>
      </c>
    </row>
    <row r="91">
      <c r="A91" t="inlineStr">
        <is>
          <t>S4-K-YS0270224A</t>
        </is>
      </c>
      <c r="B91" t="inlineStr">
        <is>
          <t>2027/02/24</t>
        </is>
      </c>
      <c r="C91" t="n">
        <v>24</v>
      </c>
      <c r="D91" s="3" t="n">
        <v>838380</v>
      </c>
      <c r="E91" s="3" t="n">
        <v>6400</v>
      </c>
      <c r="F91" s="3" t="n">
        <v>78</v>
      </c>
      <c r="G91" s="3" t="n">
        <v>24</v>
      </c>
      <c r="H91" s="3" t="n">
        <v>24</v>
      </c>
      <c r="I91" s="3" t="n">
        <v>24</v>
      </c>
      <c r="J91" s="3" t="n">
        <v>24</v>
      </c>
      <c r="K91" s="3" t="n">
        <v>54</v>
      </c>
      <c r="L91" s="3" t="n">
        <v>24</v>
      </c>
      <c r="M91" s="3">
        <f>F91*$B$5+G91*$B$6+H91*$B$7+I91*$B$8+J91*$B$9+K91*$B$10+L91*$B$11</f>
        <v/>
      </c>
      <c r="N91" s="3">
        <f>M91*設定!$B$5</f>
        <v/>
      </c>
      <c r="O91" s="3">
        <f>(D91-E91)*設定!$B$3-N91-((D91-E91)-N91)*設定!$B$4</f>
        <v/>
      </c>
      <c r="P91" s="3">
        <f>D91*設定!$B$3-N91-(D91-N91)*設定!$B$4</f>
        <v/>
      </c>
      <c r="Q91" s="3">
        <f>O91/C91</f>
        <v/>
      </c>
      <c r="R91" s="3">
        <f>P91/C91</f>
        <v/>
      </c>
    </row>
    <row r="92">
      <c r="A92" t="inlineStr">
        <is>
          <t>S4-K-YS0270225A</t>
        </is>
      </c>
      <c r="B92" t="inlineStr">
        <is>
          <t>2027/02/25</t>
        </is>
      </c>
      <c r="C92" t="n">
        <v>1</v>
      </c>
      <c r="D92" s="3" t="n">
        <v>47900</v>
      </c>
      <c r="E92" s="3" t="n">
        <v>0</v>
      </c>
      <c r="F92" s="3" t="n">
        <v>3</v>
      </c>
      <c r="G92" s="3" t="n">
        <v>1</v>
      </c>
      <c r="H92" s="3" t="n">
        <v>1</v>
      </c>
      <c r="I92" s="3" t="n">
        <v>1</v>
      </c>
      <c r="J92" s="3" t="n">
        <v>1</v>
      </c>
      <c r="K92" s="3" t="n">
        <v>2</v>
      </c>
      <c r="L92" s="3" t="n">
        <v>1</v>
      </c>
      <c r="M92" s="3">
        <f>F92*$B$5+G92*$B$6+H92*$B$7+I92*$B$8+J92*$B$9+K92*$B$10+L92*$B$11</f>
        <v/>
      </c>
      <c r="N92" s="3">
        <f>M92*設定!$B$5</f>
        <v/>
      </c>
      <c r="O92" s="3">
        <f>(D92-E92)*設定!$B$3-N92-((D92-E92)-N92)*設定!$B$4</f>
        <v/>
      </c>
      <c r="P92" s="3">
        <f>D92*設定!$B$3-N92-(D92-N92)*設定!$B$4</f>
        <v/>
      </c>
      <c r="Q92" s="3">
        <f>O92/C92</f>
        <v/>
      </c>
      <c r="R92" s="3">
        <f>P92/C92</f>
        <v/>
      </c>
    </row>
    <row r="93">
      <c r="A93" t="inlineStr">
        <is>
          <t>S4-K-YS0270226A</t>
        </is>
      </c>
      <c r="B93" t="inlineStr">
        <is>
          <t>2027/02/26</t>
        </is>
      </c>
      <c r="C93" t="n">
        <v>5</v>
      </c>
      <c r="D93" s="3" t="n">
        <v>181500</v>
      </c>
      <c r="E93" s="3" t="n">
        <v>0</v>
      </c>
      <c r="F93" s="3" t="n">
        <v>15</v>
      </c>
      <c r="G93" s="3" t="n">
        <v>5</v>
      </c>
      <c r="H93" s="3" t="n">
        <v>5</v>
      </c>
      <c r="I93" s="3" t="n">
        <v>5</v>
      </c>
      <c r="J93" s="3" t="n">
        <v>5</v>
      </c>
      <c r="K93" s="3" t="n">
        <v>10</v>
      </c>
      <c r="L93" s="3" t="n">
        <v>5</v>
      </c>
      <c r="M93" s="3">
        <f>F93*$B$5+G93*$B$6+H93*$B$7+I93*$B$8+J93*$B$9+K93*$B$10+L93*$B$11</f>
        <v/>
      </c>
      <c r="N93" s="3">
        <f>M93*設定!$B$5</f>
        <v/>
      </c>
      <c r="O93" s="3">
        <f>(D93-E93)*設定!$B$3-N93-((D93-E93)-N93)*設定!$B$4</f>
        <v/>
      </c>
      <c r="P93" s="3">
        <f>D93*設定!$B$3-N93-(D93-N93)*設定!$B$4</f>
        <v/>
      </c>
      <c r="Q93" s="3">
        <f>O93/C93</f>
        <v/>
      </c>
      <c r="R93" s="3">
        <f>P93/C93</f>
        <v/>
      </c>
    </row>
    <row r="94">
      <c r="A94" t="inlineStr">
        <is>
          <t>S4-K-YS0270227A</t>
        </is>
      </c>
      <c r="B94" t="inlineStr">
        <is>
          <t>2027/02/27</t>
        </is>
      </c>
      <c r="C94" t="n">
        <v>4</v>
      </c>
      <c r="D94" s="3" t="n">
        <v>147600</v>
      </c>
      <c r="E94" s="3" t="n">
        <v>0</v>
      </c>
      <c r="F94" s="3" t="n">
        <v>12</v>
      </c>
      <c r="G94" s="3" t="n">
        <v>4</v>
      </c>
      <c r="H94" s="3" t="n">
        <v>4</v>
      </c>
      <c r="I94" s="3" t="n">
        <v>4</v>
      </c>
      <c r="J94" s="3" t="n">
        <v>4</v>
      </c>
      <c r="K94" s="3" t="n">
        <v>8</v>
      </c>
      <c r="L94" s="3" t="n">
        <v>4</v>
      </c>
      <c r="M94" s="3">
        <f>F94*$B$5+G94*$B$6+H94*$B$7+I94*$B$8+J94*$B$9+K94*$B$10+L94*$B$11</f>
        <v/>
      </c>
      <c r="N94" s="3">
        <f>M94*設定!$B$5</f>
        <v/>
      </c>
      <c r="O94" s="3">
        <f>(D94-E94)*設定!$B$3-N94-((D94-E94)-N94)*設定!$B$4</f>
        <v/>
      </c>
      <c r="P94" s="3">
        <f>D94*設定!$B$3-N94-(D94-N94)*設定!$B$4</f>
        <v/>
      </c>
      <c r="Q94" s="3">
        <f>O94/C94</f>
        <v/>
      </c>
      <c r="R94" s="3">
        <f>P94/C94</f>
        <v/>
      </c>
    </row>
    <row r="95">
      <c r="A95" t="inlineStr">
        <is>
          <t>S4-K-YS0270301A</t>
        </is>
      </c>
      <c r="B95" t="inlineStr">
        <is>
          <t>2027/03/01</t>
        </is>
      </c>
      <c r="C95" t="n">
        <v>6</v>
      </c>
      <c r="D95" s="3" t="n">
        <v>204000</v>
      </c>
      <c r="E95" s="3" t="n">
        <v>5600</v>
      </c>
      <c r="F95" s="3" t="n">
        <v>18</v>
      </c>
      <c r="G95" s="3" t="n">
        <v>6</v>
      </c>
      <c r="H95" s="3" t="n">
        <v>6</v>
      </c>
      <c r="I95" s="3" t="n">
        <v>6</v>
      </c>
      <c r="J95" s="3" t="n">
        <v>6</v>
      </c>
      <c r="K95" s="3" t="n">
        <v>12</v>
      </c>
      <c r="L95" s="3" t="n">
        <v>6</v>
      </c>
      <c r="M95" s="3">
        <f>F95*$B$5+G95*$B$6+H95*$B$7+I95*$B$8+J95*$B$9+K95*$B$10+L95*$B$11</f>
        <v/>
      </c>
      <c r="N95" s="3">
        <f>M95*設定!$B$5</f>
        <v/>
      </c>
      <c r="O95" s="3">
        <f>(D95-E95)*設定!$B$3-N95-((D95-E95)-N95)*設定!$B$4</f>
        <v/>
      </c>
      <c r="P95" s="3">
        <f>D95*設定!$B$3-N95-(D95-N95)*設定!$B$4</f>
        <v/>
      </c>
      <c r="Q95" s="3">
        <f>O95/C95</f>
        <v/>
      </c>
      <c r="R95" s="3">
        <f>P95/C95</f>
        <v/>
      </c>
    </row>
    <row r="96">
      <c r="A96" t="inlineStr">
        <is>
          <t>S4-K-YS0270303A</t>
        </is>
      </c>
      <c r="B96" t="inlineStr">
        <is>
          <t>2027/03/03</t>
        </is>
      </c>
      <c r="C96" t="n">
        <v>8</v>
      </c>
      <c r="D96" s="3" t="n">
        <v>263200</v>
      </c>
      <c r="E96" s="3" t="n">
        <v>0</v>
      </c>
      <c r="F96" s="3" t="n">
        <v>24</v>
      </c>
      <c r="G96" s="3" t="n">
        <v>8</v>
      </c>
      <c r="H96" s="3" t="n">
        <v>8</v>
      </c>
      <c r="I96" s="3" t="n">
        <v>8</v>
      </c>
      <c r="J96" s="3" t="n">
        <v>8</v>
      </c>
      <c r="K96" s="3" t="n">
        <v>16</v>
      </c>
      <c r="L96" s="3" t="n">
        <v>8</v>
      </c>
      <c r="M96" s="3">
        <f>F96*$B$5+G96*$B$6+H96*$B$7+I96*$B$8+J96*$B$9+K96*$B$10+L96*$B$11</f>
        <v/>
      </c>
      <c r="N96" s="3">
        <f>M96*設定!$B$5</f>
        <v/>
      </c>
      <c r="O96" s="3">
        <f>(D96-E96)*設定!$B$3-N96-((D96-E96)-N96)*設定!$B$4</f>
        <v/>
      </c>
      <c r="P96" s="3">
        <f>D96*設定!$B$3-N96-(D96-N96)*設定!$B$4</f>
        <v/>
      </c>
      <c r="Q96" s="3">
        <f>O96/C96</f>
        <v/>
      </c>
      <c r="R96" s="3">
        <f>P96/C96</f>
        <v/>
      </c>
    </row>
    <row r="97">
      <c r="A97" t="inlineStr">
        <is>
          <t>S4-K-YS0270304A</t>
        </is>
      </c>
      <c r="B97" t="inlineStr">
        <is>
          <t>2027/03/04</t>
        </is>
      </c>
      <c r="C97" t="n">
        <v>6</v>
      </c>
      <c r="D97" s="3" t="n">
        <v>199400</v>
      </c>
      <c r="E97" s="3" t="n">
        <v>0</v>
      </c>
      <c r="F97" s="3" t="n">
        <v>18</v>
      </c>
      <c r="G97" s="3" t="n">
        <v>6</v>
      </c>
      <c r="H97" s="3" t="n">
        <v>6</v>
      </c>
      <c r="I97" s="3" t="n">
        <v>6</v>
      </c>
      <c r="J97" s="3" t="n">
        <v>6</v>
      </c>
      <c r="K97" s="3" t="n">
        <v>12</v>
      </c>
      <c r="L97" s="3" t="n">
        <v>6</v>
      </c>
      <c r="M97" s="3">
        <f>F97*$B$5+G97*$B$6+H97*$B$7+I97*$B$8+J97*$B$9+K97*$B$10+L97*$B$11</f>
        <v/>
      </c>
      <c r="N97" s="3">
        <f>M97*設定!$B$5</f>
        <v/>
      </c>
      <c r="O97" s="3">
        <f>(D97-E97)*設定!$B$3-N97-((D97-E97)-N97)*設定!$B$4</f>
        <v/>
      </c>
      <c r="P97" s="3">
        <f>D97*設定!$B$3-N97-(D97-N97)*設定!$B$4</f>
        <v/>
      </c>
      <c r="Q97" s="3">
        <f>O97/C97</f>
        <v/>
      </c>
      <c r="R97" s="3">
        <f>P97/C97</f>
        <v/>
      </c>
    </row>
    <row r="98">
      <c r="A98" t="inlineStr">
        <is>
          <t>S4-K-YS0270306A</t>
        </is>
      </c>
      <c r="B98" t="inlineStr">
        <is>
          <t>2027/03/06</t>
        </is>
      </c>
      <c r="C98" t="n">
        <v>10</v>
      </c>
      <c r="D98" s="3" t="n">
        <v>331000</v>
      </c>
      <c r="E98" s="3" t="n">
        <v>0</v>
      </c>
      <c r="F98" s="3" t="n">
        <v>30</v>
      </c>
      <c r="G98" s="3" t="n">
        <v>10</v>
      </c>
      <c r="H98" s="3" t="n">
        <v>10</v>
      </c>
      <c r="I98" s="3" t="n">
        <v>10</v>
      </c>
      <c r="J98" s="3" t="n">
        <v>10</v>
      </c>
      <c r="K98" s="3" t="n">
        <v>20</v>
      </c>
      <c r="L98" s="3" t="n">
        <v>10</v>
      </c>
      <c r="M98" s="3">
        <f>F98*$B$5+G98*$B$6+H98*$B$7+I98*$B$8+J98*$B$9+K98*$B$10+L98*$B$11</f>
        <v/>
      </c>
      <c r="N98" s="3">
        <f>M98*設定!$B$5</f>
        <v/>
      </c>
      <c r="O98" s="3">
        <f>(D98-E98)*設定!$B$3-N98-((D98-E98)-N98)*設定!$B$4</f>
        <v/>
      </c>
      <c r="P98" s="3">
        <f>D98*設定!$B$3-N98-(D98-N98)*設定!$B$4</f>
        <v/>
      </c>
      <c r="Q98" s="3">
        <f>O98/C98</f>
        <v/>
      </c>
      <c r="R98" s="3">
        <f>P98/C98</f>
        <v/>
      </c>
    </row>
    <row r="99">
      <c r="A99" t="inlineStr">
        <is>
          <t>S4-K-YS0270307A</t>
        </is>
      </c>
      <c r="B99" t="inlineStr">
        <is>
          <t>2027/03/07</t>
        </is>
      </c>
      <c r="C99" t="n">
        <v>8</v>
      </c>
      <c r="D99" s="3" t="n">
        <v>291200</v>
      </c>
      <c r="E99" s="3" t="n">
        <v>12000</v>
      </c>
      <c r="F99" s="3" t="n">
        <v>24</v>
      </c>
      <c r="G99" s="3" t="n">
        <v>8</v>
      </c>
      <c r="H99" s="3" t="n">
        <v>8</v>
      </c>
      <c r="I99" s="3" t="n">
        <v>8</v>
      </c>
      <c r="J99" s="3" t="n">
        <v>8</v>
      </c>
      <c r="K99" s="3" t="n">
        <v>16</v>
      </c>
      <c r="L99" s="3" t="n">
        <v>8</v>
      </c>
      <c r="M99" s="3">
        <f>F99*$B$5+G99*$B$6+H99*$B$7+I99*$B$8+J99*$B$9+K99*$B$10+L99*$B$11</f>
        <v/>
      </c>
      <c r="N99" s="3">
        <f>M99*設定!$B$5</f>
        <v/>
      </c>
      <c r="O99" s="3">
        <f>(D99-E99)*設定!$B$3-N99-((D99-E99)-N99)*設定!$B$4</f>
        <v/>
      </c>
      <c r="P99" s="3">
        <f>D99*設定!$B$3-N99-(D99-N99)*設定!$B$4</f>
        <v/>
      </c>
      <c r="Q99" s="3">
        <f>O99/C99</f>
        <v/>
      </c>
      <c r="R99" s="3">
        <f>P99/C99</f>
        <v/>
      </c>
    </row>
    <row r="100">
      <c r="A100" t="inlineStr">
        <is>
          <t>S4-K-YS0270310A</t>
        </is>
      </c>
      <c r="B100" t="inlineStr">
        <is>
          <t>2027/03/10</t>
        </is>
      </c>
      <c r="C100" t="n">
        <v>6</v>
      </c>
      <c r="D100" s="3" t="n">
        <v>203400</v>
      </c>
      <c r="E100" s="3" t="n">
        <v>0</v>
      </c>
      <c r="F100" s="3" t="n">
        <v>18</v>
      </c>
      <c r="G100" s="3" t="n">
        <v>6</v>
      </c>
      <c r="H100" s="3" t="n">
        <v>6</v>
      </c>
      <c r="I100" s="3" t="n">
        <v>6</v>
      </c>
      <c r="J100" s="3" t="n">
        <v>6</v>
      </c>
      <c r="K100" s="3" t="n">
        <v>12</v>
      </c>
      <c r="L100" s="3" t="n">
        <v>6</v>
      </c>
      <c r="M100" s="3">
        <f>F100*$B$5+G100*$B$6+H100*$B$7+I100*$B$8+J100*$B$9+K100*$B$10+L100*$B$11</f>
        <v/>
      </c>
      <c r="N100" s="3">
        <f>M100*設定!$B$5</f>
        <v/>
      </c>
      <c r="O100" s="3">
        <f>(D100-E100)*設定!$B$3-N100-((D100-E100)-N100)*設定!$B$4</f>
        <v/>
      </c>
      <c r="P100" s="3">
        <f>D100*設定!$B$3-N100-(D100-N100)*設定!$B$4</f>
        <v/>
      </c>
      <c r="Q100" s="3">
        <f>O100/C100</f>
        <v/>
      </c>
      <c r="R100" s="3">
        <f>P100/C100</f>
        <v/>
      </c>
    </row>
    <row r="101">
      <c r="A101" t="inlineStr">
        <is>
          <t>S4-K-YS0270311A</t>
        </is>
      </c>
      <c r="B101" t="inlineStr">
        <is>
          <t>2027/03/11</t>
        </is>
      </c>
      <c r="C101" t="n">
        <v>13</v>
      </c>
      <c r="D101" s="3" t="n">
        <v>470700</v>
      </c>
      <c r="E101" s="3" t="n">
        <v>0</v>
      </c>
      <c r="F101" s="3" t="n">
        <v>42</v>
      </c>
      <c r="G101" s="3" t="n">
        <v>13</v>
      </c>
      <c r="H101" s="3" t="n">
        <v>13</v>
      </c>
      <c r="I101" s="3" t="n">
        <v>13</v>
      </c>
      <c r="J101" s="3" t="n">
        <v>13</v>
      </c>
      <c r="K101" s="3" t="n">
        <v>29</v>
      </c>
      <c r="L101" s="3" t="n">
        <v>13</v>
      </c>
      <c r="M101" s="3">
        <f>F101*$B$5+G101*$B$6+H101*$B$7+I101*$B$8+J101*$B$9+K101*$B$10+L101*$B$11</f>
        <v/>
      </c>
      <c r="N101" s="3">
        <f>M101*設定!$B$5</f>
        <v/>
      </c>
      <c r="O101" s="3">
        <f>(D101-E101)*設定!$B$3-N101-((D101-E101)-N101)*設定!$B$4</f>
        <v/>
      </c>
      <c r="P101" s="3">
        <f>D101*設定!$B$3-N101-(D101-N101)*設定!$B$4</f>
        <v/>
      </c>
      <c r="Q101" s="3">
        <f>O101/C101</f>
        <v/>
      </c>
      <c r="R101" s="3">
        <f>P101/C101</f>
        <v/>
      </c>
    </row>
    <row r="102">
      <c r="A102" t="inlineStr">
        <is>
          <t>S4-K-YS0270312A</t>
        </is>
      </c>
      <c r="B102" t="inlineStr">
        <is>
          <t>2027/03/12</t>
        </is>
      </c>
      <c r="C102" t="n">
        <v>8</v>
      </c>
      <c r="D102" s="3" t="n">
        <v>280000</v>
      </c>
      <c r="E102" s="3" t="n">
        <v>12800</v>
      </c>
      <c r="F102" s="3" t="n">
        <v>24</v>
      </c>
      <c r="G102" s="3" t="n">
        <v>8</v>
      </c>
      <c r="H102" s="3" t="n">
        <v>8</v>
      </c>
      <c r="I102" s="3" t="n">
        <v>8</v>
      </c>
      <c r="J102" s="3" t="n">
        <v>8</v>
      </c>
      <c r="K102" s="3" t="n">
        <v>16</v>
      </c>
      <c r="L102" s="3" t="n">
        <v>8</v>
      </c>
      <c r="M102" s="3">
        <f>F102*$B$5+G102*$B$6+H102*$B$7+I102*$B$8+J102*$B$9+K102*$B$10+L102*$B$11</f>
        <v/>
      </c>
      <c r="N102" s="3">
        <f>M102*設定!$B$5</f>
        <v/>
      </c>
      <c r="O102" s="3">
        <f>(D102-E102)*設定!$B$3-N102-((D102-E102)-N102)*設定!$B$4</f>
        <v/>
      </c>
      <c r="P102" s="3">
        <f>D102*設定!$B$3-N102-(D102-N102)*設定!$B$4</f>
        <v/>
      </c>
      <c r="Q102" s="3">
        <f>O102/C102</f>
        <v/>
      </c>
      <c r="R102" s="3">
        <f>P102/C102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純課程(只扣刷卡手續費,無成本項目)</t>
        </is>
      </c>
    </row>
    <row r="3">
      <c r="A3" s="2" t="inlineStr">
        <is>
          <t>區域</t>
        </is>
      </c>
      <c r="B3" s="2" t="inlineStr">
        <is>
          <t>人數</t>
        </is>
      </c>
      <c r="C3" s="2" t="inlineStr">
        <is>
          <t>總收入</t>
        </is>
      </c>
      <c r="D3" s="2" t="inlineStr">
        <is>
          <t>租借收入(估)</t>
        </is>
      </c>
      <c r="E3" s="2" t="inlineStr">
        <is>
          <t>版本一(扣租借×係數)</t>
        </is>
      </c>
      <c r="F3" s="2" t="inlineStr">
        <is>
          <t>版本二(×係數)</t>
        </is>
      </c>
      <c r="G3" s="2" t="inlineStr">
        <is>
          <t>每人 版本一</t>
        </is>
      </c>
      <c r="H3" s="2" t="inlineStr">
        <is>
          <t>每人 版本二</t>
        </is>
      </c>
    </row>
    <row r="4">
      <c r="A4" t="inlineStr">
        <is>
          <t>湯澤</t>
        </is>
      </c>
      <c r="B4" s="3">
        <f>SUMIF($B$12:$B$155,$A4,D$12:D$155)</f>
        <v/>
      </c>
      <c r="C4" s="3">
        <f>SUMIF($B$12:$B$155,$A4,E$12:E$155)</f>
        <v/>
      </c>
      <c r="D4" s="3">
        <f>SUMIF($B$12:$B$155,$A4,F$12:F$155)</f>
        <v/>
      </c>
      <c r="E4" s="3">
        <f>(C4-D4)*設定!$B$3</f>
        <v/>
      </c>
      <c r="F4" s="3">
        <f>C4*設定!$B$3</f>
        <v/>
      </c>
      <c r="G4" s="3">
        <f>IF(B4=0,0,E4/B4)</f>
        <v/>
      </c>
      <c r="H4" s="3">
        <f>IF(B4=0,0,F4/B4)</f>
        <v/>
      </c>
    </row>
    <row r="5">
      <c r="A5" t="inlineStr">
        <is>
          <t>野澤</t>
        </is>
      </c>
      <c r="B5" s="3">
        <f>SUMIF($B$12:$B$155,$A5,D$12:D$155)</f>
        <v/>
      </c>
      <c r="C5" s="3">
        <f>SUMIF($B$12:$B$155,$A5,E$12:E$155)</f>
        <v/>
      </c>
      <c r="D5" s="3">
        <f>SUMIF($B$12:$B$155,$A5,F$12:F$155)</f>
        <v/>
      </c>
      <c r="E5" s="3">
        <f>(C5-D5)*設定!$B$3</f>
        <v/>
      </c>
      <c r="F5" s="3">
        <f>C5*設定!$B$3</f>
        <v/>
      </c>
      <c r="G5" s="3">
        <f>IF(B5=0,0,E5/B5)</f>
        <v/>
      </c>
      <c r="H5" s="3">
        <f>IF(B5=0,0,F5/B5)</f>
        <v/>
      </c>
    </row>
    <row r="6">
      <c r="A6" t="inlineStr">
        <is>
          <t>斑尾</t>
        </is>
      </c>
      <c r="B6" s="3">
        <f>SUMIF($B$12:$B$155,$A6,D$12:D$155)</f>
        <v/>
      </c>
      <c r="C6" s="3">
        <f>SUMIF($B$12:$B$155,$A6,E$12:E$155)</f>
        <v/>
      </c>
      <c r="D6" s="3">
        <f>SUMIF($B$12:$B$155,$A6,F$12:F$155)</f>
        <v/>
      </c>
      <c r="E6" s="3">
        <f>(C6-D6)*設定!$B$3</f>
        <v/>
      </c>
      <c r="F6" s="3">
        <f>C6*設定!$B$3</f>
        <v/>
      </c>
      <c r="G6" s="3">
        <f>IF(B6=0,0,E6/B6)</f>
        <v/>
      </c>
      <c r="H6" s="3">
        <f>IF(B6=0,0,F6/B6)</f>
        <v/>
      </c>
    </row>
    <row r="7">
      <c r="A7" s="4" t="inlineStr">
        <is>
          <t>合計</t>
        </is>
      </c>
      <c r="B7" s="3">
        <f>SUM(B4:B6)</f>
        <v/>
      </c>
      <c r="C7" s="3">
        <f>SUM(C4:C6)</f>
        <v/>
      </c>
      <c r="D7" s="3">
        <f>SUM(D4:D6)</f>
        <v/>
      </c>
      <c r="E7" s="3">
        <f>SUM(E4:E6)</f>
        <v/>
      </c>
      <c r="F7" s="3">
        <f>SUM(F4:F6)</f>
        <v/>
      </c>
      <c r="G7" s="3">
        <f>IF(B7=0,0,E7/B7)</f>
        <v/>
      </c>
      <c r="H7" s="3">
        <f>IF(B7=0,0,F7/B7)</f>
        <v/>
      </c>
    </row>
    <row r="8">
      <c r="B8" s="3" t="n"/>
      <c r="C8" s="3" t="n"/>
      <c r="D8" s="3" t="n"/>
      <c r="E8" s="3" t="n"/>
      <c r="F8" s="3" t="n"/>
      <c r="G8" s="3" t="n"/>
      <c r="H8" s="3" t="n"/>
    </row>
    <row r="9">
      <c r="B9" s="3" t="n"/>
      <c r="C9" s="3" t="n"/>
      <c r="D9" s="3" t="n"/>
      <c r="E9" s="3" t="n"/>
      <c r="F9" s="3" t="n"/>
      <c r="G9" s="3" t="n"/>
      <c r="H9" s="3" t="n"/>
    </row>
    <row r="10">
      <c r="A10" s="4" t="inlineStr">
        <is>
          <t>團別明細</t>
        </is>
      </c>
      <c r="B10" s="3" t="n"/>
      <c r="C10" s="3" t="n"/>
      <c r="D10" s="3" t="n"/>
      <c r="E10" s="3" t="n"/>
      <c r="F10" s="3" t="n"/>
      <c r="G10" s="3" t="n"/>
      <c r="H10" s="3" t="n"/>
    </row>
    <row r="11">
      <c r="A11" s="2" t="inlineStr">
        <is>
          <t>團號</t>
        </is>
      </c>
      <c r="B11" s="6" t="inlineStr">
        <is>
          <t>區域</t>
        </is>
      </c>
      <c r="C11" s="6" t="inlineStr">
        <is>
          <t>出發日</t>
        </is>
      </c>
      <c r="D11" s="6" t="inlineStr">
        <is>
          <t>人數</t>
        </is>
      </c>
      <c r="E11" s="6" t="inlineStr">
        <is>
          <t>總收入</t>
        </is>
      </c>
      <c r="F11" s="6" t="inlineStr">
        <is>
          <t>租借收入(估)</t>
        </is>
      </c>
      <c r="G11" s="6" t="inlineStr">
        <is>
          <t>版本一</t>
        </is>
      </c>
      <c r="H11" s="6" t="inlineStr">
        <is>
          <t>版本二</t>
        </is>
      </c>
    </row>
    <row r="12">
      <c r="A12" t="inlineStr">
        <is>
          <t>S4-ZB261220A</t>
        </is>
      </c>
      <c r="B12" s="3" t="inlineStr">
        <is>
          <t>斑尾</t>
        </is>
      </c>
      <c r="C12" s="3" t="inlineStr">
        <is>
          <t>2026/12/20</t>
        </is>
      </c>
      <c r="D12" s="3" t="n">
        <v>8</v>
      </c>
      <c r="E12" s="3" t="n">
        <v>68000</v>
      </c>
      <c r="F12" s="3" t="n">
        <v>0</v>
      </c>
      <c r="G12" s="3">
        <f>(E12-F12)*設定!$B$3</f>
        <v/>
      </c>
      <c r="H12" s="3">
        <f>E12*設定!$B$3</f>
        <v/>
      </c>
    </row>
    <row r="13">
      <c r="A13" t="inlineStr">
        <is>
          <t>S4-ZB261227A</t>
        </is>
      </c>
      <c r="B13" s="3" t="inlineStr">
        <is>
          <t>斑尾</t>
        </is>
      </c>
      <c r="C13" s="3" t="inlineStr">
        <is>
          <t>2026/12/27</t>
        </is>
      </c>
      <c r="D13" s="3" t="n">
        <v>6</v>
      </c>
      <c r="E13" s="3" t="n">
        <v>92000</v>
      </c>
      <c r="F13" s="3" t="n">
        <v>0</v>
      </c>
      <c r="G13" s="3">
        <f>(E13-F13)*設定!$B$3</f>
        <v/>
      </c>
      <c r="H13" s="3">
        <f>E13*設定!$B$3</f>
        <v/>
      </c>
    </row>
    <row r="14">
      <c r="A14" t="inlineStr">
        <is>
          <t>S4-ZB261230A</t>
        </is>
      </c>
      <c r="B14" s="3" t="inlineStr">
        <is>
          <t>斑尾</t>
        </is>
      </c>
      <c r="C14" s="3" t="inlineStr">
        <is>
          <t>2026/12/30</t>
        </is>
      </c>
      <c r="D14" s="3" t="n">
        <v>1</v>
      </c>
      <c r="E14" s="3" t="n">
        <v>34600</v>
      </c>
      <c r="F14" s="3" t="n">
        <v>2000</v>
      </c>
      <c r="G14" s="3">
        <f>(E14-F14)*設定!$B$3</f>
        <v/>
      </c>
      <c r="H14" s="3">
        <f>E14*設定!$B$3</f>
        <v/>
      </c>
    </row>
    <row r="15">
      <c r="A15" t="inlineStr">
        <is>
          <t>S4-ZB261231A</t>
        </is>
      </c>
      <c r="B15" s="3" t="inlineStr">
        <is>
          <t>斑尾</t>
        </is>
      </c>
      <c r="C15" s="3" t="inlineStr">
        <is>
          <t>2026/12/31</t>
        </is>
      </c>
      <c r="D15" s="3" t="n">
        <v>10</v>
      </c>
      <c r="E15" s="3" t="n">
        <v>232125</v>
      </c>
      <c r="F15" s="3" t="n">
        <v>22400</v>
      </c>
      <c r="G15" s="3">
        <f>(E15-F15)*設定!$B$3</f>
        <v/>
      </c>
      <c r="H15" s="3">
        <f>E15*設定!$B$3</f>
        <v/>
      </c>
    </row>
    <row r="16">
      <c r="A16" t="inlineStr">
        <is>
          <t>S4-ZB270103A</t>
        </is>
      </c>
      <c r="B16" s="3" t="inlineStr">
        <is>
          <t>斑尾</t>
        </is>
      </c>
      <c r="C16" s="3" t="inlineStr">
        <is>
          <t>2027/01/03</t>
        </is>
      </c>
      <c r="D16" s="3" t="n">
        <v>4</v>
      </c>
      <c r="E16" s="3" t="n">
        <v>34000</v>
      </c>
      <c r="F16" s="3" t="n">
        <v>0</v>
      </c>
      <c r="G16" s="3">
        <f>(E16-F16)*設定!$B$3</f>
        <v/>
      </c>
      <c r="H16" s="3">
        <f>E16*設定!$B$3</f>
        <v/>
      </c>
    </row>
    <row r="17">
      <c r="A17" t="inlineStr">
        <is>
          <t>S4-ZB270106A</t>
        </is>
      </c>
      <c r="B17" s="3" t="inlineStr">
        <is>
          <t>斑尾</t>
        </is>
      </c>
      <c r="C17" s="3" t="inlineStr">
        <is>
          <t>2027/01/06</t>
        </is>
      </c>
      <c r="D17" s="3" t="n">
        <v>6</v>
      </c>
      <c r="E17" s="3" t="n">
        <v>32000</v>
      </c>
      <c r="F17" s="3" t="n">
        <v>0</v>
      </c>
      <c r="G17" s="3">
        <f>(E17-F17)*設定!$B$3</f>
        <v/>
      </c>
      <c r="H17" s="3">
        <f>E17*設定!$B$3</f>
        <v/>
      </c>
    </row>
    <row r="18">
      <c r="A18" t="inlineStr">
        <is>
          <t>S4-ZB270107A</t>
        </is>
      </c>
      <c r="B18" s="3" t="inlineStr">
        <is>
          <t>斑尾</t>
        </is>
      </c>
      <c r="C18" s="3" t="inlineStr">
        <is>
          <t>2027/01/07</t>
        </is>
      </c>
      <c r="D18" s="3" t="n">
        <v>9</v>
      </c>
      <c r="E18" s="3" t="n">
        <v>81800</v>
      </c>
      <c r="F18" s="3" t="n">
        <v>4400</v>
      </c>
      <c r="G18" s="3">
        <f>(E18-F18)*設定!$B$3</f>
        <v/>
      </c>
      <c r="H18" s="3">
        <f>E18*設定!$B$3</f>
        <v/>
      </c>
    </row>
    <row r="19">
      <c r="A19" t="inlineStr">
        <is>
          <t>S4-ZB270107B</t>
        </is>
      </c>
      <c r="B19" s="3" t="inlineStr">
        <is>
          <t>斑尾</t>
        </is>
      </c>
      <c r="C19" s="3" t="inlineStr">
        <is>
          <t>2027/01/07</t>
        </is>
      </c>
      <c r="D19" s="3" t="n">
        <v>6</v>
      </c>
      <c r="E19" s="3" t="n">
        <v>58001</v>
      </c>
      <c r="F19" s="3" t="n">
        <v>0</v>
      </c>
      <c r="G19" s="3">
        <f>(E19-F19)*設定!$B$3</f>
        <v/>
      </c>
      <c r="H19" s="3">
        <f>E19*設定!$B$3</f>
        <v/>
      </c>
    </row>
    <row r="20">
      <c r="A20" t="inlineStr">
        <is>
          <t>S4-ZB270110A</t>
        </is>
      </c>
      <c r="B20" s="3" t="inlineStr">
        <is>
          <t>斑尾</t>
        </is>
      </c>
      <c r="C20" s="3" t="inlineStr">
        <is>
          <t>2027/01/10</t>
        </is>
      </c>
      <c r="D20" s="3" t="n">
        <v>7</v>
      </c>
      <c r="E20" s="3" t="n">
        <v>69300</v>
      </c>
      <c r="F20" s="3" t="n">
        <v>6800</v>
      </c>
      <c r="G20" s="3">
        <f>(E20-F20)*設定!$B$3</f>
        <v/>
      </c>
      <c r="H20" s="3">
        <f>E20*設定!$B$3</f>
        <v/>
      </c>
    </row>
    <row r="21">
      <c r="A21" t="inlineStr">
        <is>
          <t>S4-ZB270111A</t>
        </is>
      </c>
      <c r="B21" s="3" t="inlineStr">
        <is>
          <t>斑尾</t>
        </is>
      </c>
      <c r="C21" s="3" t="inlineStr">
        <is>
          <t>2027/01/11</t>
        </is>
      </c>
      <c r="D21" s="3" t="n">
        <v>2</v>
      </c>
      <c r="E21" s="3" t="n">
        <v>30000</v>
      </c>
      <c r="F21" s="3" t="n">
        <v>0</v>
      </c>
      <c r="G21" s="3">
        <f>(E21-F21)*設定!$B$3</f>
        <v/>
      </c>
      <c r="H21" s="3">
        <f>E21*設定!$B$3</f>
        <v/>
      </c>
    </row>
    <row r="22">
      <c r="A22" t="inlineStr">
        <is>
          <t>S4-ZB270112A</t>
        </is>
      </c>
      <c r="B22" s="3" t="inlineStr">
        <is>
          <t>斑尾</t>
        </is>
      </c>
      <c r="C22" s="3" t="inlineStr">
        <is>
          <t>2027/01/12</t>
        </is>
      </c>
      <c r="D22" s="3" t="n">
        <v>11</v>
      </c>
      <c r="E22" s="3" t="n">
        <v>100600</v>
      </c>
      <c r="F22" s="3" t="n">
        <v>0</v>
      </c>
      <c r="G22" s="3">
        <f>(E22-F22)*設定!$B$3</f>
        <v/>
      </c>
      <c r="H22" s="3">
        <f>E22*設定!$B$3</f>
        <v/>
      </c>
    </row>
    <row r="23">
      <c r="A23" t="inlineStr">
        <is>
          <t>S4-ZB270113A</t>
        </is>
      </c>
      <c r="B23" s="3" t="inlineStr">
        <is>
          <t>斑尾</t>
        </is>
      </c>
      <c r="C23" s="3" t="inlineStr">
        <is>
          <t>2027/01/13</t>
        </is>
      </c>
      <c r="D23" s="3" t="n">
        <v>5</v>
      </c>
      <c r="E23" s="3" t="n">
        <v>73400</v>
      </c>
      <c r="F23" s="3" t="n">
        <v>4000</v>
      </c>
      <c r="G23" s="3">
        <f>(E23-F23)*設定!$B$3</f>
        <v/>
      </c>
      <c r="H23" s="3">
        <f>E23*設定!$B$3</f>
        <v/>
      </c>
    </row>
    <row r="24">
      <c r="A24" t="inlineStr">
        <is>
          <t>S4-ZB270114A</t>
        </is>
      </c>
      <c r="B24" s="3" t="inlineStr">
        <is>
          <t>斑尾</t>
        </is>
      </c>
      <c r="C24" s="3" t="inlineStr">
        <is>
          <t>2027/01/14</t>
        </is>
      </c>
      <c r="D24" s="3" t="n">
        <v>17</v>
      </c>
      <c r="E24" s="3" t="n">
        <v>78750</v>
      </c>
      <c r="F24" s="3" t="n">
        <v>0</v>
      </c>
      <c r="G24" s="3">
        <f>(E24-F24)*設定!$B$3</f>
        <v/>
      </c>
      <c r="H24" s="3">
        <f>E24*設定!$B$3</f>
        <v/>
      </c>
    </row>
    <row r="25">
      <c r="A25" t="inlineStr">
        <is>
          <t>S4-ZB270115A</t>
        </is>
      </c>
      <c r="B25" s="3" t="inlineStr">
        <is>
          <t>斑尾</t>
        </is>
      </c>
      <c r="C25" s="3" t="inlineStr">
        <is>
          <t>2027/01/15</t>
        </is>
      </c>
      <c r="D25" s="3" t="n">
        <v>3</v>
      </c>
      <c r="E25" s="3" t="n">
        <v>16000</v>
      </c>
      <c r="F25" s="3" t="n">
        <v>0</v>
      </c>
      <c r="G25" s="3">
        <f>(E25-F25)*設定!$B$3</f>
        <v/>
      </c>
      <c r="H25" s="3">
        <f>E25*設定!$B$3</f>
        <v/>
      </c>
    </row>
    <row r="26">
      <c r="A26" t="inlineStr">
        <is>
          <t>S4-ZB270116A</t>
        </is>
      </c>
      <c r="B26" s="3" t="inlineStr">
        <is>
          <t>斑尾</t>
        </is>
      </c>
      <c r="C26" s="3" t="inlineStr">
        <is>
          <t>2027/01/16</t>
        </is>
      </c>
      <c r="D26" s="3" t="n">
        <v>4</v>
      </c>
      <c r="E26" s="3" t="n">
        <v>30000</v>
      </c>
      <c r="F26" s="3" t="n">
        <v>0</v>
      </c>
      <c r="G26" s="3">
        <f>(E26-F26)*設定!$B$3</f>
        <v/>
      </c>
      <c r="H26" s="3">
        <f>E26*設定!$B$3</f>
        <v/>
      </c>
    </row>
    <row r="27">
      <c r="A27" t="inlineStr">
        <is>
          <t>S4-ZB270117A</t>
        </is>
      </c>
      <c r="B27" s="3" t="inlineStr">
        <is>
          <t>斑尾</t>
        </is>
      </c>
      <c r="C27" s="3" t="inlineStr">
        <is>
          <t>2027/01/17</t>
        </is>
      </c>
      <c r="D27" s="3" t="n">
        <v>6</v>
      </c>
      <c r="E27" s="3" t="n">
        <v>64000</v>
      </c>
      <c r="F27" s="3" t="n">
        <v>0</v>
      </c>
      <c r="G27" s="3">
        <f>(E27-F27)*設定!$B$3</f>
        <v/>
      </c>
      <c r="H27" s="3">
        <f>E27*設定!$B$3</f>
        <v/>
      </c>
    </row>
    <row r="28">
      <c r="A28" t="inlineStr">
        <is>
          <t>S4-ZB270117B</t>
        </is>
      </c>
      <c r="B28" s="3" t="inlineStr">
        <is>
          <t>斑尾</t>
        </is>
      </c>
      <c r="C28" s="3" t="inlineStr">
        <is>
          <t>2027/01/17</t>
        </is>
      </c>
      <c r="D28" s="3" t="n">
        <v>10</v>
      </c>
      <c r="E28" s="3" t="n">
        <v>145000</v>
      </c>
      <c r="F28" s="3" t="n">
        <v>0</v>
      </c>
      <c r="G28" s="3">
        <f>(E28-F28)*設定!$B$3</f>
        <v/>
      </c>
      <c r="H28" s="3">
        <f>E28*設定!$B$3</f>
        <v/>
      </c>
    </row>
    <row r="29">
      <c r="A29" t="inlineStr">
        <is>
          <t>S4-ZB270119A</t>
        </is>
      </c>
      <c r="B29" s="3" t="inlineStr">
        <is>
          <t>斑尾</t>
        </is>
      </c>
      <c r="C29" s="3" t="inlineStr">
        <is>
          <t>2027/01/19</t>
        </is>
      </c>
      <c r="D29" s="3" t="n">
        <v>1</v>
      </c>
      <c r="E29" s="3" t="n">
        <v>14500</v>
      </c>
      <c r="F29" s="3" t="n">
        <v>0</v>
      </c>
      <c r="G29" s="3">
        <f>(E29-F29)*設定!$B$3</f>
        <v/>
      </c>
      <c r="H29" s="3">
        <f>E29*設定!$B$3</f>
        <v/>
      </c>
    </row>
    <row r="30">
      <c r="A30" t="inlineStr">
        <is>
          <t>S4-ZB270121A</t>
        </is>
      </c>
      <c r="B30" s="3" t="inlineStr">
        <is>
          <t>斑尾</t>
        </is>
      </c>
      <c r="C30" s="3" t="inlineStr">
        <is>
          <t>2027/01/21</t>
        </is>
      </c>
      <c r="D30" s="3" t="n">
        <v>7</v>
      </c>
      <c r="E30" s="3" t="n">
        <v>79700</v>
      </c>
      <c r="F30" s="3" t="n">
        <v>4600</v>
      </c>
      <c r="G30" s="3">
        <f>(E30-F30)*設定!$B$3</f>
        <v/>
      </c>
      <c r="H30" s="3">
        <f>E30*設定!$B$3</f>
        <v/>
      </c>
    </row>
    <row r="31">
      <c r="A31" t="inlineStr">
        <is>
          <t>S4-ZB270122A</t>
        </is>
      </c>
      <c r="B31" s="3" t="inlineStr">
        <is>
          <t>斑尾</t>
        </is>
      </c>
      <c r="C31" s="3" t="inlineStr">
        <is>
          <t>2027/01/22</t>
        </is>
      </c>
      <c r="D31" s="3" t="n">
        <v>2</v>
      </c>
      <c r="E31" s="3" t="n">
        <v>30000</v>
      </c>
      <c r="F31" s="3" t="n">
        <v>0</v>
      </c>
      <c r="G31" s="3">
        <f>(E31-F31)*設定!$B$3</f>
        <v/>
      </c>
      <c r="H31" s="3">
        <f>E31*設定!$B$3</f>
        <v/>
      </c>
    </row>
    <row r="32">
      <c r="A32" t="inlineStr">
        <is>
          <t>S4-ZB270123A</t>
        </is>
      </c>
      <c r="B32" s="3" t="inlineStr">
        <is>
          <t>斑尾</t>
        </is>
      </c>
      <c r="C32" s="3" t="inlineStr">
        <is>
          <t>2027/01/23</t>
        </is>
      </c>
      <c r="D32" s="3" t="n">
        <v>6</v>
      </c>
      <c r="E32" s="3" t="n">
        <v>89667</v>
      </c>
      <c r="F32" s="3" t="n">
        <v>0</v>
      </c>
      <c r="G32" s="3">
        <f>(E32-F32)*設定!$B$3</f>
        <v/>
      </c>
      <c r="H32" s="3">
        <f>E32*設定!$B$3</f>
        <v/>
      </c>
    </row>
    <row r="33">
      <c r="A33" t="inlineStr">
        <is>
          <t>S4-ZB270125A</t>
        </is>
      </c>
      <c r="B33" s="3" t="inlineStr">
        <is>
          <t>斑尾</t>
        </is>
      </c>
      <c r="C33" s="3" t="inlineStr">
        <is>
          <t>2027/01/25</t>
        </is>
      </c>
      <c r="D33" s="3" t="n">
        <v>7</v>
      </c>
      <c r="E33" s="3" t="n">
        <v>46500</v>
      </c>
      <c r="F33" s="3" t="n">
        <v>0</v>
      </c>
      <c r="G33" s="3">
        <f>(E33-F33)*設定!$B$3</f>
        <v/>
      </c>
      <c r="H33" s="3">
        <f>E33*設定!$B$3</f>
        <v/>
      </c>
    </row>
    <row r="34">
      <c r="A34" t="inlineStr">
        <is>
          <t>S4-ZB270126A</t>
        </is>
      </c>
      <c r="B34" s="3" t="inlineStr">
        <is>
          <t>斑尾</t>
        </is>
      </c>
      <c r="C34" s="3" t="inlineStr">
        <is>
          <t>2027/01/26</t>
        </is>
      </c>
      <c r="D34" s="3" t="n">
        <v>7</v>
      </c>
      <c r="E34" s="3" t="n">
        <v>77000</v>
      </c>
      <c r="F34" s="3" t="n">
        <v>0</v>
      </c>
      <c r="G34" s="3">
        <f>(E34-F34)*設定!$B$3</f>
        <v/>
      </c>
      <c r="H34" s="3">
        <f>E34*設定!$B$3</f>
        <v/>
      </c>
    </row>
    <row r="35">
      <c r="A35" t="inlineStr">
        <is>
          <t>S4-ZB270127A</t>
        </is>
      </c>
      <c r="B35" s="3" t="inlineStr">
        <is>
          <t>斑尾</t>
        </is>
      </c>
      <c r="C35" s="3" t="inlineStr">
        <is>
          <t>2027/01/27</t>
        </is>
      </c>
      <c r="D35" s="3" t="n">
        <v>3</v>
      </c>
      <c r="E35" s="3" t="n">
        <v>29500</v>
      </c>
      <c r="F35" s="3" t="n">
        <v>0</v>
      </c>
      <c r="G35" s="3">
        <f>(E35-F35)*設定!$B$3</f>
        <v/>
      </c>
      <c r="H35" s="3">
        <f>E35*設定!$B$3</f>
        <v/>
      </c>
    </row>
    <row r="36">
      <c r="A36" t="inlineStr">
        <is>
          <t>S4-ZB270130A</t>
        </is>
      </c>
      <c r="B36" s="3" t="inlineStr">
        <is>
          <t>斑尾</t>
        </is>
      </c>
      <c r="C36" s="3" t="inlineStr">
        <is>
          <t>2027/01/30</t>
        </is>
      </c>
      <c r="D36" s="3" t="n">
        <v>4</v>
      </c>
      <c r="E36" s="3" t="n">
        <v>34000</v>
      </c>
      <c r="F36" s="3" t="n">
        <v>0</v>
      </c>
      <c r="G36" s="3">
        <f>(E36-F36)*設定!$B$3</f>
        <v/>
      </c>
      <c r="H36" s="3">
        <f>E36*設定!$B$3</f>
        <v/>
      </c>
    </row>
    <row r="37">
      <c r="A37" t="inlineStr">
        <is>
          <t>S4-ZB270130B</t>
        </is>
      </c>
      <c r="B37" s="3" t="inlineStr">
        <is>
          <t>斑尾</t>
        </is>
      </c>
      <c r="C37" s="3" t="inlineStr">
        <is>
          <t>2027/01/30</t>
        </is>
      </c>
      <c r="D37" s="3" t="n">
        <v>5</v>
      </c>
      <c r="E37" s="3" t="n">
        <v>72500</v>
      </c>
      <c r="F37" s="3" t="n">
        <v>0</v>
      </c>
      <c r="G37" s="3">
        <f>(E37-F37)*設定!$B$3</f>
        <v/>
      </c>
      <c r="H37" s="3">
        <f>E37*設定!$B$3</f>
        <v/>
      </c>
    </row>
    <row r="38">
      <c r="A38" t="inlineStr">
        <is>
          <t>S4-ZB270131A</t>
        </is>
      </c>
      <c r="B38" s="3" t="inlineStr">
        <is>
          <t>斑尾</t>
        </is>
      </c>
      <c r="C38" s="3" t="inlineStr">
        <is>
          <t>2027/01/31</t>
        </is>
      </c>
      <c r="D38" s="3" t="n">
        <v>3</v>
      </c>
      <c r="E38" s="3" t="n">
        <v>21400</v>
      </c>
      <c r="F38" s="3" t="n">
        <v>0</v>
      </c>
      <c r="G38" s="3">
        <f>(E38-F38)*設定!$B$3</f>
        <v/>
      </c>
      <c r="H38" s="3">
        <f>E38*設定!$B$3</f>
        <v/>
      </c>
    </row>
    <row r="39">
      <c r="A39" t="inlineStr">
        <is>
          <t>S4-ZB270202A</t>
        </is>
      </c>
      <c r="B39" s="3" t="inlineStr">
        <is>
          <t>斑尾</t>
        </is>
      </c>
      <c r="C39" s="3" t="inlineStr">
        <is>
          <t>2027/02/02</t>
        </is>
      </c>
      <c r="D39" s="3" t="n">
        <v>1</v>
      </c>
      <c r="E39" s="3" t="n">
        <v>14500</v>
      </c>
      <c r="F39" s="3" t="n">
        <v>0</v>
      </c>
      <c r="G39" s="3">
        <f>(E39-F39)*設定!$B$3</f>
        <v/>
      </c>
      <c r="H39" s="3">
        <f>E39*設定!$B$3</f>
        <v/>
      </c>
    </row>
    <row r="40">
      <c r="A40" t="inlineStr">
        <is>
          <t>S4-ZB270204A</t>
        </is>
      </c>
      <c r="B40" s="3" t="inlineStr">
        <is>
          <t>斑尾</t>
        </is>
      </c>
      <c r="C40" s="3" t="inlineStr">
        <is>
          <t>2027/02/04</t>
        </is>
      </c>
      <c r="D40" s="3" t="n">
        <v>2</v>
      </c>
      <c r="E40" s="3" t="n">
        <v>30000</v>
      </c>
      <c r="F40" s="3" t="n">
        <v>0</v>
      </c>
      <c r="G40" s="3">
        <f>(E40-F40)*設定!$B$3</f>
        <v/>
      </c>
      <c r="H40" s="3">
        <f>E40*設定!$B$3</f>
        <v/>
      </c>
    </row>
    <row r="41">
      <c r="A41" t="inlineStr">
        <is>
          <t>S4-ZB270205A</t>
        </is>
      </c>
      <c r="B41" s="3" t="inlineStr">
        <is>
          <t>斑尾</t>
        </is>
      </c>
      <c r="C41" s="3" t="inlineStr">
        <is>
          <t>2027/02/05</t>
        </is>
      </c>
      <c r="D41" s="3" t="n">
        <v>2</v>
      </c>
      <c r="E41" s="3" t="n">
        <v>40800</v>
      </c>
      <c r="F41" s="3" t="n">
        <v>0</v>
      </c>
      <c r="G41" s="3">
        <f>(E41-F41)*設定!$B$3</f>
        <v/>
      </c>
      <c r="H41" s="3">
        <f>E41*設定!$B$3</f>
        <v/>
      </c>
    </row>
    <row r="42">
      <c r="A42" t="inlineStr">
        <is>
          <t>S4-ZB270207A</t>
        </is>
      </c>
      <c r="B42" s="3" t="inlineStr">
        <is>
          <t>斑尾</t>
        </is>
      </c>
      <c r="C42" s="3" t="inlineStr">
        <is>
          <t>2027/02/07</t>
        </is>
      </c>
      <c r="D42" s="3" t="n">
        <v>2</v>
      </c>
      <c r="E42" s="3" t="n">
        <v>15000</v>
      </c>
      <c r="F42" s="3" t="n">
        <v>0</v>
      </c>
      <c r="G42" s="3">
        <f>(E42-F42)*設定!$B$3</f>
        <v/>
      </c>
      <c r="H42" s="3">
        <f>E42*設定!$B$3</f>
        <v/>
      </c>
    </row>
    <row r="43">
      <c r="A43" t="inlineStr">
        <is>
          <t>S4-ZB270208A</t>
        </is>
      </c>
      <c r="B43" s="3" t="inlineStr">
        <is>
          <t>斑尾</t>
        </is>
      </c>
      <c r="C43" s="3" t="inlineStr">
        <is>
          <t>2027/02/08</t>
        </is>
      </c>
      <c r="D43" s="3" t="n">
        <v>1</v>
      </c>
      <c r="E43" s="3" t="n">
        <v>14500</v>
      </c>
      <c r="F43" s="3" t="n">
        <v>0</v>
      </c>
      <c r="G43" s="3">
        <f>(E43-F43)*設定!$B$3</f>
        <v/>
      </c>
      <c r="H43" s="3">
        <f>E43*設定!$B$3</f>
        <v/>
      </c>
    </row>
    <row r="44">
      <c r="A44" t="inlineStr">
        <is>
          <t>S4-ZB270209A</t>
        </is>
      </c>
      <c r="B44" s="3" t="inlineStr">
        <is>
          <t>斑尾</t>
        </is>
      </c>
      <c r="C44" s="3" t="inlineStr">
        <is>
          <t>2027/02/09</t>
        </is>
      </c>
      <c r="D44" s="3" t="n">
        <v>2</v>
      </c>
      <c r="E44" s="3" t="n">
        <v>15000</v>
      </c>
      <c r="F44" s="3" t="n">
        <v>0</v>
      </c>
      <c r="G44" s="3">
        <f>(E44-F44)*設定!$B$3</f>
        <v/>
      </c>
      <c r="H44" s="3">
        <f>E44*設定!$B$3</f>
        <v/>
      </c>
    </row>
    <row r="45">
      <c r="A45" t="inlineStr">
        <is>
          <t>S4-ZB270210A</t>
        </is>
      </c>
      <c r="B45" s="3" t="inlineStr">
        <is>
          <t>斑尾</t>
        </is>
      </c>
      <c r="C45" s="3" t="inlineStr">
        <is>
          <t>2027/02/10</t>
        </is>
      </c>
      <c r="D45" s="3" t="n">
        <v>11</v>
      </c>
      <c r="E45" s="3" t="n">
        <v>116000</v>
      </c>
      <c r="F45" s="3" t="n">
        <v>0</v>
      </c>
      <c r="G45" s="3">
        <f>(E45-F45)*設定!$B$3</f>
        <v/>
      </c>
      <c r="H45" s="3">
        <f>E45*設定!$B$3</f>
        <v/>
      </c>
    </row>
    <row r="46">
      <c r="A46" t="inlineStr">
        <is>
          <t>S4-ZB270212A</t>
        </is>
      </c>
      <c r="B46" s="3" t="inlineStr">
        <is>
          <t>斑尾</t>
        </is>
      </c>
      <c r="C46" s="3" t="inlineStr">
        <is>
          <t>2027/02/12</t>
        </is>
      </c>
      <c r="D46" s="3" t="n">
        <v>3</v>
      </c>
      <c r="E46" s="3" t="n">
        <v>16000</v>
      </c>
      <c r="F46" s="3" t="n">
        <v>0</v>
      </c>
      <c r="G46" s="3">
        <f>(E46-F46)*設定!$B$3</f>
        <v/>
      </c>
      <c r="H46" s="3">
        <f>E46*設定!$B$3</f>
        <v/>
      </c>
    </row>
    <row r="47">
      <c r="A47" t="inlineStr">
        <is>
          <t>S4-ZB270221A</t>
        </is>
      </c>
      <c r="B47" s="3" t="inlineStr">
        <is>
          <t>斑尾</t>
        </is>
      </c>
      <c r="C47" s="3" t="inlineStr">
        <is>
          <t>2027/02/21</t>
        </is>
      </c>
      <c r="D47" s="3" t="n">
        <v>3</v>
      </c>
      <c r="E47" s="3" t="n">
        <v>32000</v>
      </c>
      <c r="F47" s="3" t="n">
        <v>0</v>
      </c>
      <c r="G47" s="3">
        <f>(E47-F47)*設定!$B$3</f>
        <v/>
      </c>
      <c r="H47" s="3">
        <f>E47*設定!$B$3</f>
        <v/>
      </c>
    </row>
    <row r="48">
      <c r="A48" t="inlineStr">
        <is>
          <t>S4-ZB270222A</t>
        </is>
      </c>
      <c r="B48" s="3" t="inlineStr">
        <is>
          <t>斑尾</t>
        </is>
      </c>
      <c r="C48" s="3" t="inlineStr">
        <is>
          <t>2027/02/22</t>
        </is>
      </c>
      <c r="D48" s="3" t="n">
        <v>4</v>
      </c>
      <c r="E48" s="3" t="n">
        <v>45000</v>
      </c>
      <c r="F48" s="3" t="n">
        <v>0</v>
      </c>
      <c r="G48" s="3">
        <f>(E48-F48)*設定!$B$3</f>
        <v/>
      </c>
      <c r="H48" s="3">
        <f>E48*設定!$B$3</f>
        <v/>
      </c>
    </row>
    <row r="49">
      <c r="A49" t="inlineStr">
        <is>
          <t>S4-ZB270223A</t>
        </is>
      </c>
      <c r="B49" s="3" t="inlineStr">
        <is>
          <t>斑尾</t>
        </is>
      </c>
      <c r="C49" s="3" t="inlineStr">
        <is>
          <t>2027/02/23</t>
        </is>
      </c>
      <c r="D49" s="3" t="n">
        <v>4</v>
      </c>
      <c r="E49" s="3" t="n">
        <v>77400</v>
      </c>
      <c r="F49" s="3" t="n">
        <v>2000</v>
      </c>
      <c r="G49" s="3">
        <f>(E49-F49)*設定!$B$3</f>
        <v/>
      </c>
      <c r="H49" s="3">
        <f>E49*設定!$B$3</f>
        <v/>
      </c>
    </row>
    <row r="50">
      <c r="A50" t="inlineStr">
        <is>
          <t>S4-ZB270224A</t>
        </is>
      </c>
      <c r="B50" s="3" t="inlineStr">
        <is>
          <t>斑尾</t>
        </is>
      </c>
      <c r="C50" s="3" t="inlineStr">
        <is>
          <t>2027/02/24</t>
        </is>
      </c>
      <c r="D50" s="3" t="n">
        <v>3</v>
      </c>
      <c r="E50" s="3" t="n">
        <v>25500</v>
      </c>
      <c r="F50" s="3" t="n">
        <v>0</v>
      </c>
      <c r="G50" s="3">
        <f>(E50-F50)*設定!$B$3</f>
        <v/>
      </c>
      <c r="H50" s="3">
        <f>E50*設定!$B$3</f>
        <v/>
      </c>
    </row>
    <row r="51">
      <c r="A51" t="inlineStr">
        <is>
          <t>S4-ZB270224B</t>
        </is>
      </c>
      <c r="B51" s="3" t="inlineStr">
        <is>
          <t>斑尾</t>
        </is>
      </c>
      <c r="C51" s="3" t="inlineStr">
        <is>
          <t>2027/02/24</t>
        </is>
      </c>
      <c r="D51" s="3" t="n">
        <v>2</v>
      </c>
      <c r="E51" s="3" t="n">
        <v>29000</v>
      </c>
      <c r="F51" s="3" t="n">
        <v>0</v>
      </c>
      <c r="G51" s="3">
        <f>(E51-F51)*設定!$B$3</f>
        <v/>
      </c>
      <c r="H51" s="3">
        <f>E51*設定!$B$3</f>
        <v/>
      </c>
    </row>
    <row r="52">
      <c r="A52" t="inlineStr">
        <is>
          <t>S4-ZB270227A</t>
        </is>
      </c>
      <c r="B52" s="3" t="inlineStr">
        <is>
          <t>斑尾</t>
        </is>
      </c>
      <c r="C52" s="3" t="inlineStr">
        <is>
          <t>2027/02/27</t>
        </is>
      </c>
      <c r="D52" s="3" t="n">
        <v>8</v>
      </c>
      <c r="E52" s="3" t="n">
        <v>68000</v>
      </c>
      <c r="F52" s="3" t="n">
        <v>0</v>
      </c>
      <c r="G52" s="3">
        <f>(E52-F52)*設定!$B$3</f>
        <v/>
      </c>
      <c r="H52" s="3">
        <f>E52*設定!$B$3</f>
        <v/>
      </c>
    </row>
    <row r="53">
      <c r="A53" t="inlineStr">
        <is>
          <t>S4-ZB270228A</t>
        </is>
      </c>
      <c r="B53" s="3" t="inlineStr">
        <is>
          <t>斑尾</t>
        </is>
      </c>
      <c r="C53" s="3" t="inlineStr">
        <is>
          <t>2027/02/28</t>
        </is>
      </c>
      <c r="D53" s="3" t="n">
        <v>6</v>
      </c>
      <c r="E53" s="3" t="n">
        <v>19000</v>
      </c>
      <c r="F53" s="3" t="n">
        <v>0</v>
      </c>
      <c r="G53" s="3">
        <f>(E53-F53)*設定!$B$3</f>
        <v/>
      </c>
      <c r="H53" s="3">
        <f>E53*設定!$B$3</f>
        <v/>
      </c>
    </row>
    <row r="54">
      <c r="A54" t="inlineStr">
        <is>
          <t>S4-ZB270302A</t>
        </is>
      </c>
      <c r="B54" s="3" t="inlineStr">
        <is>
          <t>斑尾</t>
        </is>
      </c>
      <c r="C54" s="3" t="inlineStr">
        <is>
          <t>2027/03/02</t>
        </is>
      </c>
      <c r="D54" s="3" t="n">
        <v>3</v>
      </c>
      <c r="E54" s="3" t="n">
        <v>48200</v>
      </c>
      <c r="F54" s="3" t="n">
        <v>0</v>
      </c>
      <c r="G54" s="3">
        <f>(E54-F54)*設定!$B$3</f>
        <v/>
      </c>
      <c r="H54" s="3">
        <f>E54*設定!$B$3</f>
        <v/>
      </c>
    </row>
    <row r="55">
      <c r="A55" t="inlineStr">
        <is>
          <t>S4-ZB270304B</t>
        </is>
      </c>
      <c r="B55" s="3" t="inlineStr">
        <is>
          <t>斑尾</t>
        </is>
      </c>
      <c r="C55" s="3" t="inlineStr">
        <is>
          <t>2027/03/04</t>
        </is>
      </c>
      <c r="D55" s="3" t="n">
        <v>2</v>
      </c>
      <c r="E55" s="3" t="n">
        <v>29000</v>
      </c>
      <c r="F55" s="3" t="n">
        <v>0</v>
      </c>
      <c r="G55" s="3">
        <f>(E55-F55)*設定!$B$3</f>
        <v/>
      </c>
      <c r="H55" s="3">
        <f>E55*設定!$B$3</f>
        <v/>
      </c>
    </row>
    <row r="56">
      <c r="A56" t="inlineStr">
        <is>
          <t>S4-ZB270308A</t>
        </is>
      </c>
      <c r="B56" s="3" t="inlineStr">
        <is>
          <t>斑尾</t>
        </is>
      </c>
      <c r="C56" s="3" t="inlineStr">
        <is>
          <t>2027/03/08</t>
        </is>
      </c>
      <c r="D56" s="3" t="n">
        <v>2</v>
      </c>
      <c r="E56" s="3" t="n">
        <v>40800</v>
      </c>
      <c r="F56" s="3" t="n">
        <v>0</v>
      </c>
      <c r="G56" s="3">
        <f>(E56-F56)*設定!$B$3</f>
        <v/>
      </c>
      <c r="H56" s="3">
        <f>E56*設定!$B$3</f>
        <v/>
      </c>
    </row>
    <row r="57">
      <c r="A57" t="inlineStr">
        <is>
          <t>S4-ZB270308B</t>
        </is>
      </c>
      <c r="B57" s="3" t="inlineStr">
        <is>
          <t>斑尾</t>
        </is>
      </c>
      <c r="C57" s="3" t="inlineStr">
        <is>
          <t>2027/03/08</t>
        </is>
      </c>
      <c r="D57" s="3" t="n">
        <v>1</v>
      </c>
      <c r="E57" s="3" t="n">
        <v>14500</v>
      </c>
      <c r="F57" s="3" t="n">
        <v>0</v>
      </c>
      <c r="G57" s="3">
        <f>(E57-F57)*設定!$B$3</f>
        <v/>
      </c>
      <c r="H57" s="3">
        <f>E57*設定!$B$3</f>
        <v/>
      </c>
    </row>
    <row r="58">
      <c r="A58" t="inlineStr">
        <is>
          <t>S4-ZB270310A</t>
        </is>
      </c>
      <c r="B58" s="3" t="inlineStr">
        <is>
          <t>斑尾</t>
        </is>
      </c>
      <c r="C58" s="3" t="inlineStr">
        <is>
          <t>2027/03/10</t>
        </is>
      </c>
      <c r="D58" s="3" t="n">
        <v>8</v>
      </c>
      <c r="E58" s="3" t="n">
        <v>51000</v>
      </c>
      <c r="F58" s="3" t="n">
        <v>0</v>
      </c>
      <c r="G58" s="3">
        <f>(E58-F58)*設定!$B$3</f>
        <v/>
      </c>
      <c r="H58" s="3">
        <f>E58*設定!$B$3</f>
        <v/>
      </c>
    </row>
    <row r="59">
      <c r="A59" t="inlineStr">
        <is>
          <t>S4-ZN261224A</t>
        </is>
      </c>
      <c r="B59" s="3" t="inlineStr">
        <is>
          <t>野澤</t>
        </is>
      </c>
      <c r="C59" s="3" t="inlineStr">
        <is>
          <t>2026/12/24</t>
        </is>
      </c>
      <c r="D59" s="3" t="n">
        <v>2</v>
      </c>
      <c r="E59" s="3" t="n">
        <v>52500</v>
      </c>
      <c r="F59" s="3" t="n">
        <v>0</v>
      </c>
      <c r="G59" s="3">
        <f>(E59-F59)*設定!$B$3</f>
        <v/>
      </c>
      <c r="H59" s="3">
        <f>E59*設定!$B$3</f>
        <v/>
      </c>
    </row>
    <row r="60">
      <c r="A60" t="inlineStr">
        <is>
          <t>S4-ZN261230A</t>
        </is>
      </c>
      <c r="B60" s="3" t="inlineStr">
        <is>
          <t>野澤</t>
        </is>
      </c>
      <c r="C60" s="3" t="inlineStr">
        <is>
          <t>2026/12/30</t>
        </is>
      </c>
      <c r="D60" s="3" t="n">
        <v>2</v>
      </c>
      <c r="E60" s="3" t="n">
        <v>35000</v>
      </c>
      <c r="F60" s="3" t="n">
        <v>0</v>
      </c>
      <c r="G60" s="3">
        <f>(E60-F60)*設定!$B$3</f>
        <v/>
      </c>
      <c r="H60" s="3">
        <f>E60*設定!$B$3</f>
        <v/>
      </c>
    </row>
    <row r="61">
      <c r="A61" t="inlineStr">
        <is>
          <t>S4-ZN270106A</t>
        </is>
      </c>
      <c r="B61" s="3" t="inlineStr">
        <is>
          <t>野澤</t>
        </is>
      </c>
      <c r="C61" s="3" t="inlineStr">
        <is>
          <t>2027/01/06</t>
        </is>
      </c>
      <c r="D61" s="3" t="n">
        <v>10</v>
      </c>
      <c r="E61" s="3" t="n">
        <v>130500</v>
      </c>
      <c r="F61" s="3" t="n">
        <v>0</v>
      </c>
      <c r="G61" s="3">
        <f>(E61-F61)*設定!$B$3</f>
        <v/>
      </c>
      <c r="H61" s="3">
        <f>E61*設定!$B$3</f>
        <v/>
      </c>
    </row>
    <row r="62">
      <c r="A62" t="inlineStr">
        <is>
          <t>S4-ZN270107A</t>
        </is>
      </c>
      <c r="B62" s="3" t="inlineStr">
        <is>
          <t>野澤</t>
        </is>
      </c>
      <c r="C62" s="3" t="inlineStr">
        <is>
          <t>2027/01/07</t>
        </is>
      </c>
      <c r="D62" s="3" t="n">
        <v>1</v>
      </c>
      <c r="E62" s="3" t="n">
        <v>16500</v>
      </c>
      <c r="F62" s="3" t="n">
        <v>0</v>
      </c>
      <c r="G62" s="3">
        <f>(E62-F62)*設定!$B$3</f>
        <v/>
      </c>
      <c r="H62" s="3">
        <f>E62*設定!$B$3</f>
        <v/>
      </c>
    </row>
    <row r="63">
      <c r="A63" t="inlineStr">
        <is>
          <t>S4-ZN270108A</t>
        </is>
      </c>
      <c r="B63" s="3" t="inlineStr">
        <is>
          <t>野澤</t>
        </is>
      </c>
      <c r="C63" s="3" t="inlineStr">
        <is>
          <t>2027/01/08</t>
        </is>
      </c>
      <c r="D63" s="3" t="n">
        <v>4</v>
      </c>
      <c r="E63" s="3" t="n">
        <v>19500</v>
      </c>
      <c r="F63" s="3" t="n">
        <v>0</v>
      </c>
      <c r="G63" s="3">
        <f>(E63-F63)*設定!$B$3</f>
        <v/>
      </c>
      <c r="H63" s="3">
        <f>E63*設定!$B$3</f>
        <v/>
      </c>
    </row>
    <row r="64">
      <c r="A64" t="inlineStr">
        <is>
          <t>S4-ZN270112A</t>
        </is>
      </c>
      <c r="B64" s="3" t="inlineStr">
        <is>
          <t>野澤</t>
        </is>
      </c>
      <c r="C64" s="3" t="inlineStr">
        <is>
          <t>2027/01/12</t>
        </is>
      </c>
      <c r="D64" s="3" t="n">
        <v>2</v>
      </c>
      <c r="E64" s="3" t="n">
        <v>35000</v>
      </c>
      <c r="F64" s="3" t="n">
        <v>0</v>
      </c>
      <c r="G64" s="3">
        <f>(E64-F64)*設定!$B$3</f>
        <v/>
      </c>
      <c r="H64" s="3">
        <f>E64*設定!$B$3</f>
        <v/>
      </c>
    </row>
    <row r="65">
      <c r="A65" t="inlineStr">
        <is>
          <t>S4-ZN270113A</t>
        </is>
      </c>
      <c r="B65" s="3" t="inlineStr">
        <is>
          <t>野澤</t>
        </is>
      </c>
      <c r="C65" s="3" t="inlineStr">
        <is>
          <t>2027/01/13</t>
        </is>
      </c>
      <c r="D65" s="3" t="n">
        <v>3</v>
      </c>
      <c r="E65" s="3" t="n">
        <v>21500</v>
      </c>
      <c r="F65" s="3" t="n">
        <v>0</v>
      </c>
      <c r="G65" s="3">
        <f>(E65-F65)*設定!$B$3</f>
        <v/>
      </c>
      <c r="H65" s="3">
        <f>E65*設定!$B$3</f>
        <v/>
      </c>
    </row>
    <row r="66">
      <c r="A66" t="inlineStr">
        <is>
          <t>S4-ZN270118A</t>
        </is>
      </c>
      <c r="B66" s="3" t="inlineStr">
        <is>
          <t>野澤</t>
        </is>
      </c>
      <c r="C66" s="3" t="inlineStr">
        <is>
          <t>2027/01/18</t>
        </is>
      </c>
      <c r="D66" s="3" t="n">
        <v>3</v>
      </c>
      <c r="E66" s="3" t="n">
        <v>39000</v>
      </c>
      <c r="F66" s="3" t="n">
        <v>0</v>
      </c>
      <c r="G66" s="3">
        <f>(E66-F66)*設定!$B$3</f>
        <v/>
      </c>
      <c r="H66" s="3">
        <f>E66*設定!$B$3</f>
        <v/>
      </c>
    </row>
    <row r="67">
      <c r="A67" t="inlineStr">
        <is>
          <t>S4-ZN270119A</t>
        </is>
      </c>
      <c r="B67" s="3" t="inlineStr">
        <is>
          <t>野澤</t>
        </is>
      </c>
      <c r="C67" s="3" t="inlineStr">
        <is>
          <t>2027/01/19</t>
        </is>
      </c>
      <c r="D67" s="3" t="n">
        <v>9</v>
      </c>
      <c r="E67" s="3" t="n">
        <v>82000</v>
      </c>
      <c r="F67" s="3" t="n">
        <v>0</v>
      </c>
      <c r="G67" s="3">
        <f>(E67-F67)*設定!$B$3</f>
        <v/>
      </c>
      <c r="H67" s="3">
        <f>E67*設定!$B$3</f>
        <v/>
      </c>
    </row>
    <row r="68">
      <c r="A68" t="inlineStr">
        <is>
          <t>S4-ZN270122A</t>
        </is>
      </c>
      <c r="B68" s="3" t="inlineStr">
        <is>
          <t>野澤</t>
        </is>
      </c>
      <c r="C68" s="3" t="inlineStr">
        <is>
          <t>2027/01/22</t>
        </is>
      </c>
      <c r="D68" s="3" t="n">
        <v>6</v>
      </c>
      <c r="E68" s="3" t="n">
        <v>21000</v>
      </c>
      <c r="F68" s="3" t="n">
        <v>0</v>
      </c>
      <c r="G68" s="3">
        <f>(E68-F68)*設定!$B$3</f>
        <v/>
      </c>
      <c r="H68" s="3">
        <f>E68*設定!$B$3</f>
        <v/>
      </c>
    </row>
    <row r="69">
      <c r="A69" t="inlineStr">
        <is>
          <t>S4-ZN270124A</t>
        </is>
      </c>
      <c r="B69" s="3" t="inlineStr">
        <is>
          <t>野澤</t>
        </is>
      </c>
      <c r="C69" s="3" t="inlineStr">
        <is>
          <t>2027/01/24</t>
        </is>
      </c>
      <c r="D69" s="3" t="n">
        <v>2</v>
      </c>
      <c r="E69" s="3" t="n">
        <v>17500</v>
      </c>
      <c r="F69" s="3" t="n">
        <v>0</v>
      </c>
      <c r="G69" s="3">
        <f>(E69-F69)*設定!$B$3</f>
        <v/>
      </c>
      <c r="H69" s="3">
        <f>E69*設定!$B$3</f>
        <v/>
      </c>
    </row>
    <row r="70">
      <c r="A70" t="inlineStr">
        <is>
          <t>S4-ZN270126A</t>
        </is>
      </c>
      <c r="B70" s="3" t="inlineStr">
        <is>
          <t>野澤</t>
        </is>
      </c>
      <c r="C70" s="3" t="inlineStr">
        <is>
          <t>2027/01/26</t>
        </is>
      </c>
      <c r="D70" s="3" t="n">
        <v>6</v>
      </c>
      <c r="E70" s="3" t="n">
        <v>61334</v>
      </c>
      <c r="F70" s="3" t="n">
        <v>0</v>
      </c>
      <c r="G70" s="3">
        <f>(E70-F70)*設定!$B$3</f>
        <v/>
      </c>
      <c r="H70" s="3">
        <f>E70*設定!$B$3</f>
        <v/>
      </c>
    </row>
    <row r="71">
      <c r="A71" t="inlineStr">
        <is>
          <t>S4-ZN270127A</t>
        </is>
      </c>
      <c r="B71" s="3" t="inlineStr">
        <is>
          <t>野澤</t>
        </is>
      </c>
      <c r="C71" s="3" t="inlineStr">
        <is>
          <t>2027/01/27</t>
        </is>
      </c>
      <c r="D71" s="3" t="n">
        <v>5</v>
      </c>
      <c r="E71" s="3" t="n">
        <v>42000</v>
      </c>
      <c r="F71" s="3" t="n">
        <v>0</v>
      </c>
      <c r="G71" s="3">
        <f>(E71-F71)*設定!$B$3</f>
        <v/>
      </c>
      <c r="H71" s="3">
        <f>E71*設定!$B$3</f>
        <v/>
      </c>
    </row>
    <row r="72">
      <c r="A72" t="inlineStr">
        <is>
          <t>S4-ZN270128A</t>
        </is>
      </c>
      <c r="B72" s="3" t="inlineStr">
        <is>
          <t>野澤</t>
        </is>
      </c>
      <c r="C72" s="3" t="inlineStr">
        <is>
          <t>2027/01/28</t>
        </is>
      </c>
      <c r="D72" s="3" t="n">
        <v>11</v>
      </c>
      <c r="E72" s="3" t="n">
        <v>157000</v>
      </c>
      <c r="F72" s="3" t="n">
        <v>0</v>
      </c>
      <c r="G72" s="3">
        <f>(E72-F72)*設定!$B$3</f>
        <v/>
      </c>
      <c r="H72" s="3">
        <f>E72*設定!$B$3</f>
        <v/>
      </c>
    </row>
    <row r="73">
      <c r="A73" t="inlineStr">
        <is>
          <t>S4-ZN270129A</t>
        </is>
      </c>
      <c r="B73" s="3" t="inlineStr">
        <is>
          <t>野澤</t>
        </is>
      </c>
      <c r="C73" s="3" t="inlineStr">
        <is>
          <t>2027/01/29</t>
        </is>
      </c>
      <c r="D73" s="3" t="n">
        <v>4</v>
      </c>
      <c r="E73" s="3" t="n">
        <v>119500</v>
      </c>
      <c r="F73" s="3" t="n">
        <v>0</v>
      </c>
      <c r="G73" s="3">
        <f>(E73-F73)*設定!$B$3</f>
        <v/>
      </c>
      <c r="H73" s="3">
        <f>E73*設定!$B$3</f>
        <v/>
      </c>
    </row>
    <row r="74">
      <c r="A74" t="inlineStr">
        <is>
          <t>S4-ZN270130A</t>
        </is>
      </c>
      <c r="B74" s="3" t="inlineStr">
        <is>
          <t>野澤</t>
        </is>
      </c>
      <c r="C74" s="3" t="inlineStr">
        <is>
          <t>2027/01/30</t>
        </is>
      </c>
      <c r="D74" s="3" t="n">
        <v>5</v>
      </c>
      <c r="E74" s="3" t="n">
        <v>21000</v>
      </c>
      <c r="F74" s="3" t="n">
        <v>0</v>
      </c>
      <c r="G74" s="3">
        <f>(E74-F74)*設定!$B$3</f>
        <v/>
      </c>
      <c r="H74" s="3">
        <f>E74*設定!$B$3</f>
        <v/>
      </c>
    </row>
    <row r="75">
      <c r="A75" t="inlineStr">
        <is>
          <t>S4-ZN270131A</t>
        </is>
      </c>
      <c r="B75" s="3" t="inlineStr">
        <is>
          <t>野澤</t>
        </is>
      </c>
      <c r="C75" s="3" t="inlineStr">
        <is>
          <t>2027/01/31</t>
        </is>
      </c>
      <c r="D75" s="3" t="n">
        <v>2</v>
      </c>
      <c r="E75" s="3" t="n">
        <v>35000</v>
      </c>
      <c r="F75" s="3" t="n">
        <v>0</v>
      </c>
      <c r="G75" s="3">
        <f>(E75-F75)*設定!$B$3</f>
        <v/>
      </c>
      <c r="H75" s="3">
        <f>E75*設定!$B$3</f>
        <v/>
      </c>
    </row>
    <row r="76">
      <c r="A76" t="inlineStr">
        <is>
          <t>S4-ZN270202A</t>
        </is>
      </c>
      <c r="B76" s="3" t="inlineStr">
        <is>
          <t>野澤</t>
        </is>
      </c>
      <c r="C76" s="3" t="inlineStr">
        <is>
          <t>2027/02/02</t>
        </is>
      </c>
      <c r="D76" s="3" t="n">
        <v>2</v>
      </c>
      <c r="E76" s="3" t="n">
        <v>17500</v>
      </c>
      <c r="F76" s="3" t="n">
        <v>0</v>
      </c>
      <c r="G76" s="3">
        <f>(E76-F76)*設定!$B$3</f>
        <v/>
      </c>
      <c r="H76" s="3">
        <f>E76*設定!$B$3</f>
        <v/>
      </c>
    </row>
    <row r="77">
      <c r="A77" t="inlineStr">
        <is>
          <t>S4-ZN270204A</t>
        </is>
      </c>
      <c r="B77" s="3" t="inlineStr">
        <is>
          <t>野澤</t>
        </is>
      </c>
      <c r="C77" s="3" t="inlineStr">
        <is>
          <t>2027/02/04</t>
        </is>
      </c>
      <c r="D77" s="3" t="n">
        <v>1</v>
      </c>
      <c r="E77" s="3" t="n">
        <v>33000</v>
      </c>
      <c r="F77" s="3" t="n">
        <v>0</v>
      </c>
      <c r="G77" s="3">
        <f>(E77-F77)*設定!$B$3</f>
        <v/>
      </c>
      <c r="H77" s="3">
        <f>E77*設定!$B$3</f>
        <v/>
      </c>
    </row>
    <row r="78">
      <c r="A78" t="inlineStr">
        <is>
          <t>S4-ZN270207A</t>
        </is>
      </c>
      <c r="B78" s="3" t="inlineStr">
        <is>
          <t>野澤</t>
        </is>
      </c>
      <c r="C78" s="3" t="inlineStr">
        <is>
          <t>2027/02/07</t>
        </is>
      </c>
      <c r="D78" s="3" t="n">
        <v>3</v>
      </c>
      <c r="E78" s="3" t="n">
        <v>102000</v>
      </c>
      <c r="F78" s="3" t="n">
        <v>0</v>
      </c>
      <c r="G78" s="3">
        <f>(E78-F78)*設定!$B$3</f>
        <v/>
      </c>
      <c r="H78" s="3">
        <f>E78*設定!$B$3</f>
        <v/>
      </c>
    </row>
    <row r="79">
      <c r="A79" t="inlineStr">
        <is>
          <t>S4-ZN270208A</t>
        </is>
      </c>
      <c r="B79" s="3" t="inlineStr">
        <is>
          <t>野澤</t>
        </is>
      </c>
      <c r="C79" s="3" t="inlineStr">
        <is>
          <t>2027/02/08</t>
        </is>
      </c>
      <c r="D79" s="3" t="n">
        <v>2</v>
      </c>
      <c r="E79" s="3" t="n">
        <v>61500</v>
      </c>
      <c r="F79" s="3" t="n">
        <v>0</v>
      </c>
      <c r="G79" s="3">
        <f>(E79-F79)*設定!$B$3</f>
        <v/>
      </c>
      <c r="H79" s="3">
        <f>E79*設定!$B$3</f>
        <v/>
      </c>
    </row>
    <row r="80">
      <c r="A80" t="inlineStr">
        <is>
          <t>S4-ZN270212A</t>
        </is>
      </c>
      <c r="B80" s="3" t="inlineStr">
        <is>
          <t>野澤</t>
        </is>
      </c>
      <c r="C80" s="3" t="inlineStr">
        <is>
          <t>2027/02/12</t>
        </is>
      </c>
      <c r="D80" s="3" t="n">
        <v>8</v>
      </c>
      <c r="E80" s="3" t="n">
        <v>39000</v>
      </c>
      <c r="F80" s="3" t="n">
        <v>0</v>
      </c>
      <c r="G80" s="3">
        <f>(E80-F80)*設定!$B$3</f>
        <v/>
      </c>
      <c r="H80" s="3">
        <f>E80*設定!$B$3</f>
        <v/>
      </c>
    </row>
    <row r="81">
      <c r="A81" t="inlineStr">
        <is>
          <t>S4-ZN270216A</t>
        </is>
      </c>
      <c r="B81" s="3" t="inlineStr">
        <is>
          <t>野澤</t>
        </is>
      </c>
      <c r="C81" s="3" t="inlineStr">
        <is>
          <t>2027/02/16</t>
        </is>
      </c>
      <c r="D81" s="3" t="n">
        <v>2</v>
      </c>
      <c r="E81" s="3" t="n">
        <v>35000</v>
      </c>
      <c r="F81" s="3" t="n">
        <v>0</v>
      </c>
      <c r="G81" s="3">
        <f>(E81-F81)*設定!$B$3</f>
        <v/>
      </c>
      <c r="H81" s="3">
        <f>E81*設定!$B$3</f>
        <v/>
      </c>
    </row>
    <row r="82">
      <c r="A82" t="inlineStr">
        <is>
          <t>S4-ZN270219A</t>
        </is>
      </c>
      <c r="B82" s="3" t="inlineStr">
        <is>
          <t>野澤</t>
        </is>
      </c>
      <c r="C82" s="3" t="inlineStr">
        <is>
          <t>2027/02/19</t>
        </is>
      </c>
      <c r="D82" s="3" t="n">
        <v>2</v>
      </c>
      <c r="E82" s="3" t="n">
        <v>33000</v>
      </c>
      <c r="F82" s="3" t="n">
        <v>0</v>
      </c>
      <c r="G82" s="3">
        <f>(E82-F82)*設定!$B$3</f>
        <v/>
      </c>
      <c r="H82" s="3">
        <f>E82*設定!$B$3</f>
        <v/>
      </c>
    </row>
    <row r="83">
      <c r="A83" t="inlineStr">
        <is>
          <t>S4-ZN270226A</t>
        </is>
      </c>
      <c r="B83" s="3" t="inlineStr">
        <is>
          <t>野澤</t>
        </is>
      </c>
      <c r="C83" s="3" t="inlineStr">
        <is>
          <t>2027/02/26</t>
        </is>
      </c>
      <c r="D83" s="3" t="n">
        <v>4</v>
      </c>
      <c r="E83" s="3" t="n">
        <v>39000</v>
      </c>
      <c r="F83" s="3" t="n">
        <v>0</v>
      </c>
      <c r="G83" s="3">
        <f>(E83-F83)*設定!$B$3</f>
        <v/>
      </c>
      <c r="H83" s="3">
        <f>E83*設定!$B$3</f>
        <v/>
      </c>
    </row>
    <row r="84">
      <c r="A84" t="inlineStr">
        <is>
          <t>S4-ZN270301A</t>
        </is>
      </c>
      <c r="B84" s="3" t="inlineStr">
        <is>
          <t>野澤</t>
        </is>
      </c>
      <c r="C84" s="3" t="inlineStr">
        <is>
          <t>2027/03/01</t>
        </is>
      </c>
      <c r="D84" s="3" t="n">
        <v>3</v>
      </c>
      <c r="E84" s="3" t="n">
        <v>19500</v>
      </c>
      <c r="F84" s="3" t="n">
        <v>0</v>
      </c>
      <c r="G84" s="3">
        <f>(E84-F84)*設定!$B$3</f>
        <v/>
      </c>
      <c r="H84" s="3">
        <f>E84*設定!$B$3</f>
        <v/>
      </c>
    </row>
    <row r="85">
      <c r="A85" t="inlineStr">
        <is>
          <t>S4-ZN270303A</t>
        </is>
      </c>
      <c r="B85" s="3" t="inlineStr">
        <is>
          <t>野澤</t>
        </is>
      </c>
      <c r="C85" s="3" t="inlineStr">
        <is>
          <t>2027/03/03</t>
        </is>
      </c>
      <c r="D85" s="3" t="n">
        <v>2</v>
      </c>
      <c r="E85" s="3" t="n">
        <v>35000</v>
      </c>
      <c r="F85" s="3" t="n">
        <v>0</v>
      </c>
      <c r="G85" s="3">
        <f>(E85-F85)*設定!$B$3</f>
        <v/>
      </c>
      <c r="H85" s="3">
        <f>E85*設定!$B$3</f>
        <v/>
      </c>
    </row>
    <row r="86">
      <c r="A86" t="inlineStr">
        <is>
          <t>S4-ZN270309A</t>
        </is>
      </c>
      <c r="B86" s="3" t="inlineStr">
        <is>
          <t>野澤</t>
        </is>
      </c>
      <c r="C86" s="3" t="inlineStr">
        <is>
          <t>2027/03/09</t>
        </is>
      </c>
      <c r="D86" s="3" t="n">
        <v>2</v>
      </c>
      <c r="E86" s="3" t="n">
        <v>52500</v>
      </c>
      <c r="F86" s="3" t="n">
        <v>0</v>
      </c>
      <c r="G86" s="3">
        <f>(E86-F86)*設定!$B$3</f>
        <v/>
      </c>
      <c r="H86" s="3">
        <f>E86*設定!$B$3</f>
        <v/>
      </c>
    </row>
    <row r="87">
      <c r="A87" t="inlineStr">
        <is>
          <t>S4-ZY261219A</t>
        </is>
      </c>
      <c r="B87" s="3" t="inlineStr">
        <is>
          <t>湯澤</t>
        </is>
      </c>
      <c r="C87" s="3" t="inlineStr">
        <is>
          <t>2026/12/19</t>
        </is>
      </c>
      <c r="D87" s="3" t="n">
        <v>6</v>
      </c>
      <c r="E87" s="3" t="n">
        <v>48333</v>
      </c>
      <c r="F87" s="3" t="n">
        <v>0</v>
      </c>
      <c r="G87" s="3">
        <f>(E87-F87)*設定!$B$3</f>
        <v/>
      </c>
      <c r="H87" s="3">
        <f>E87*設定!$B$3</f>
        <v/>
      </c>
    </row>
    <row r="88">
      <c r="A88" t="inlineStr">
        <is>
          <t>S4-ZY261220A</t>
        </is>
      </c>
      <c r="B88" s="3" t="inlineStr">
        <is>
          <t>湯澤</t>
        </is>
      </c>
      <c r="C88" s="3" t="inlineStr">
        <is>
          <t>2026/12/20</t>
        </is>
      </c>
      <c r="D88" s="3" t="n">
        <v>1</v>
      </c>
      <c r="E88" s="3" t="n">
        <v>12500</v>
      </c>
      <c r="F88" s="3" t="n">
        <v>0</v>
      </c>
      <c r="G88" s="3">
        <f>(E88-F88)*設定!$B$3</f>
        <v/>
      </c>
      <c r="H88" s="3">
        <f>E88*設定!$B$3</f>
        <v/>
      </c>
    </row>
    <row r="89">
      <c r="A89" t="inlineStr">
        <is>
          <t>S4-ZY261221A</t>
        </is>
      </c>
      <c r="B89" s="3" t="inlineStr">
        <is>
          <t>湯澤</t>
        </is>
      </c>
      <c r="C89" s="3" t="inlineStr">
        <is>
          <t>2026/12/21</t>
        </is>
      </c>
      <c r="D89" s="3" t="n">
        <v>15</v>
      </c>
      <c r="E89" s="3" t="n">
        <v>164000</v>
      </c>
      <c r="F89" s="3" t="n">
        <v>0</v>
      </c>
      <c r="G89" s="3">
        <f>(E89-F89)*設定!$B$3</f>
        <v/>
      </c>
      <c r="H89" s="3">
        <f>E89*設定!$B$3</f>
        <v/>
      </c>
    </row>
    <row r="90">
      <c r="A90" t="inlineStr">
        <is>
          <t>S4-ZY261222A</t>
        </is>
      </c>
      <c r="B90" s="3" t="inlineStr">
        <is>
          <t>湯澤</t>
        </is>
      </c>
      <c r="C90" s="3" t="inlineStr">
        <is>
          <t>2026/12/22</t>
        </is>
      </c>
      <c r="D90" s="3" t="n">
        <v>3</v>
      </c>
      <c r="E90" s="3" t="n">
        <v>51000</v>
      </c>
      <c r="F90" s="3" t="n">
        <v>0</v>
      </c>
      <c r="G90" s="3">
        <f>(E90-F90)*設定!$B$3</f>
        <v/>
      </c>
      <c r="H90" s="3">
        <f>E90*設定!$B$3</f>
        <v/>
      </c>
    </row>
    <row r="91">
      <c r="A91" t="inlineStr">
        <is>
          <t>S4-ZY261224A</t>
        </is>
      </c>
      <c r="B91" s="3" t="inlineStr">
        <is>
          <t>湯澤</t>
        </is>
      </c>
      <c r="C91" s="3" t="inlineStr">
        <is>
          <t>2026/12/24</t>
        </is>
      </c>
      <c r="D91" s="3" t="n">
        <v>17</v>
      </c>
      <c r="E91" s="3" t="n">
        <v>60000</v>
      </c>
      <c r="F91" s="3" t="n">
        <v>0</v>
      </c>
      <c r="G91" s="3">
        <f>(E91-F91)*設定!$B$3</f>
        <v/>
      </c>
      <c r="H91" s="3">
        <f>E91*設定!$B$3</f>
        <v/>
      </c>
    </row>
    <row r="92">
      <c r="A92" t="inlineStr">
        <is>
          <t>S4-ZY261225A</t>
        </is>
      </c>
      <c r="B92" s="3" t="inlineStr">
        <is>
          <t>湯澤</t>
        </is>
      </c>
      <c r="C92" s="3" t="inlineStr">
        <is>
          <t>2026/12/25</t>
        </is>
      </c>
      <c r="D92" s="3" t="n">
        <v>12</v>
      </c>
      <c r="E92" s="3" t="n">
        <v>31996</v>
      </c>
      <c r="F92" s="3" t="n">
        <v>0</v>
      </c>
      <c r="G92" s="3">
        <f>(E92-F92)*設定!$B$3</f>
        <v/>
      </c>
      <c r="H92" s="3">
        <f>E92*設定!$B$3</f>
        <v/>
      </c>
    </row>
    <row r="93">
      <c r="A93" t="inlineStr">
        <is>
          <t>S4-ZY261226A</t>
        </is>
      </c>
      <c r="B93" s="3" t="inlineStr">
        <is>
          <t>湯澤</t>
        </is>
      </c>
      <c r="C93" s="3" t="inlineStr">
        <is>
          <t>2026/12/26</t>
        </is>
      </c>
      <c r="D93" s="3" t="n">
        <v>1</v>
      </c>
      <c r="E93" s="3" t="n">
        <v>25000</v>
      </c>
      <c r="F93" s="3" t="n">
        <v>0</v>
      </c>
      <c r="G93" s="3">
        <f>(E93-F93)*設定!$B$3</f>
        <v/>
      </c>
      <c r="H93" s="3">
        <f>E93*設定!$B$3</f>
        <v/>
      </c>
    </row>
    <row r="94">
      <c r="A94" t="inlineStr">
        <is>
          <t>S4-ZY261227A</t>
        </is>
      </c>
      <c r="B94" s="3" t="inlineStr">
        <is>
          <t>湯澤</t>
        </is>
      </c>
      <c r="C94" s="3" t="inlineStr">
        <is>
          <t>2026/12/27</t>
        </is>
      </c>
      <c r="D94" s="3" t="n">
        <v>3</v>
      </c>
      <c r="E94" s="3" t="n">
        <v>14000</v>
      </c>
      <c r="F94" s="3" t="n">
        <v>0</v>
      </c>
      <c r="G94" s="3">
        <f>(E94-F94)*設定!$B$3</f>
        <v/>
      </c>
      <c r="H94" s="3">
        <f>E94*設定!$B$3</f>
        <v/>
      </c>
    </row>
    <row r="95">
      <c r="A95" t="inlineStr">
        <is>
          <t>S4-ZY261229A</t>
        </is>
      </c>
      <c r="B95" s="3" t="inlineStr">
        <is>
          <t>湯澤</t>
        </is>
      </c>
      <c r="C95" s="3" t="inlineStr">
        <is>
          <t>2026/12/29</t>
        </is>
      </c>
      <c r="D95" s="3" t="n">
        <v>9</v>
      </c>
      <c r="E95" s="3" t="n">
        <v>84000</v>
      </c>
      <c r="F95" s="3" t="n">
        <v>0</v>
      </c>
      <c r="G95" s="3">
        <f>(E95-F95)*設定!$B$3</f>
        <v/>
      </c>
      <c r="H95" s="3">
        <f>E95*設定!$B$3</f>
        <v/>
      </c>
    </row>
    <row r="96">
      <c r="A96" t="inlineStr">
        <is>
          <t>S4-ZY261230A</t>
        </is>
      </c>
      <c r="B96" s="3" t="inlineStr">
        <is>
          <t>湯澤</t>
        </is>
      </c>
      <c r="C96" s="3" t="inlineStr">
        <is>
          <t>2026/12/30</t>
        </is>
      </c>
      <c r="D96" s="3" t="n">
        <v>2</v>
      </c>
      <c r="E96" s="3" t="n">
        <v>26000</v>
      </c>
      <c r="F96" s="3" t="n">
        <v>0</v>
      </c>
      <c r="G96" s="3">
        <f>(E96-F96)*設定!$B$3</f>
        <v/>
      </c>
      <c r="H96" s="3">
        <f>E96*設定!$B$3</f>
        <v/>
      </c>
    </row>
    <row r="97">
      <c r="A97" t="inlineStr">
        <is>
          <t>S4-ZY261231A</t>
        </is>
      </c>
      <c r="B97" s="3" t="inlineStr">
        <is>
          <t>湯澤</t>
        </is>
      </c>
      <c r="C97" s="3" t="inlineStr">
        <is>
          <t>2026/12/31</t>
        </is>
      </c>
      <c r="D97" s="3" t="n">
        <v>10</v>
      </c>
      <c r="E97" s="3" t="n">
        <v>94000</v>
      </c>
      <c r="F97" s="3" t="n">
        <v>0</v>
      </c>
      <c r="G97" s="3">
        <f>(E97-F97)*設定!$B$3</f>
        <v/>
      </c>
      <c r="H97" s="3">
        <f>E97*設定!$B$3</f>
        <v/>
      </c>
    </row>
    <row r="98">
      <c r="A98" t="inlineStr">
        <is>
          <t>S4-ZY270101A</t>
        </is>
      </c>
      <c r="B98" s="3" t="inlineStr">
        <is>
          <t>湯澤</t>
        </is>
      </c>
      <c r="C98" s="3" t="inlineStr">
        <is>
          <t>2027/01/01</t>
        </is>
      </c>
      <c r="D98" s="3" t="n">
        <v>2</v>
      </c>
      <c r="E98" s="3" t="n">
        <v>19000</v>
      </c>
      <c r="F98" s="3" t="n">
        <v>0</v>
      </c>
      <c r="G98" s="3">
        <f>(E98-F98)*設定!$B$3</f>
        <v/>
      </c>
      <c r="H98" s="3">
        <f>E98*設定!$B$3</f>
        <v/>
      </c>
    </row>
    <row r="99">
      <c r="A99" t="inlineStr">
        <is>
          <t>S4-ZY270102A</t>
        </is>
      </c>
      <c r="B99" s="3" t="inlineStr">
        <is>
          <t>湯澤</t>
        </is>
      </c>
      <c r="C99" s="3" t="inlineStr">
        <is>
          <t>2027/01/02</t>
        </is>
      </c>
      <c r="D99" s="3" t="n">
        <v>11</v>
      </c>
      <c r="E99" s="3" t="n">
        <v>80000</v>
      </c>
      <c r="F99" s="3" t="n">
        <v>0</v>
      </c>
      <c r="G99" s="3">
        <f>(E99-F99)*設定!$B$3</f>
        <v/>
      </c>
      <c r="H99" s="3">
        <f>E99*設定!$B$3</f>
        <v/>
      </c>
    </row>
    <row r="100">
      <c r="A100" t="inlineStr">
        <is>
          <t>S4-ZY270103A</t>
        </is>
      </c>
      <c r="B100" s="3" t="inlineStr">
        <is>
          <t>湯澤</t>
        </is>
      </c>
      <c r="C100" s="3" t="inlineStr">
        <is>
          <t>2027/01/03</t>
        </is>
      </c>
      <c r="D100" s="3" t="n">
        <v>6</v>
      </c>
      <c r="E100" s="3" t="n">
        <v>65000</v>
      </c>
      <c r="F100" s="3" t="n">
        <v>0</v>
      </c>
      <c r="G100" s="3">
        <f>(E100-F100)*設定!$B$3</f>
        <v/>
      </c>
      <c r="H100" s="3">
        <f>E100*設定!$B$3</f>
        <v/>
      </c>
    </row>
    <row r="101">
      <c r="A101" t="inlineStr">
        <is>
          <t>S4-ZY270104A</t>
        </is>
      </c>
      <c r="B101" s="3" t="inlineStr">
        <is>
          <t>湯澤</t>
        </is>
      </c>
      <c r="C101" s="3" t="inlineStr">
        <is>
          <t>2027/01/04</t>
        </is>
      </c>
      <c r="D101" s="3" t="n">
        <v>6</v>
      </c>
      <c r="E101" s="3" t="n">
        <v>78000</v>
      </c>
      <c r="F101" s="3" t="n">
        <v>0</v>
      </c>
      <c r="G101" s="3">
        <f>(E101-F101)*設定!$B$3</f>
        <v/>
      </c>
      <c r="H101" s="3">
        <f>E101*設定!$B$3</f>
        <v/>
      </c>
    </row>
    <row r="102">
      <c r="A102" t="inlineStr">
        <is>
          <t>S4-ZY270105A</t>
        </is>
      </c>
      <c r="B102" s="3" t="inlineStr">
        <is>
          <t>湯澤</t>
        </is>
      </c>
      <c r="C102" s="3" t="inlineStr">
        <is>
          <t>2027/01/05</t>
        </is>
      </c>
      <c r="D102" s="3" t="n">
        <v>6</v>
      </c>
      <c r="E102" s="3" t="n">
        <v>53000</v>
      </c>
      <c r="F102" s="3" t="n">
        <v>0</v>
      </c>
      <c r="G102" s="3">
        <f>(E102-F102)*設定!$B$3</f>
        <v/>
      </c>
      <c r="H102" s="3">
        <f>E102*設定!$B$3</f>
        <v/>
      </c>
    </row>
    <row r="103">
      <c r="A103" t="inlineStr">
        <is>
          <t>S4-ZY270106A</t>
        </is>
      </c>
      <c r="B103" s="3" t="inlineStr">
        <is>
          <t>湯澤</t>
        </is>
      </c>
      <c r="C103" s="3" t="inlineStr">
        <is>
          <t>2027/01/06</t>
        </is>
      </c>
      <c r="D103" s="3" t="n">
        <v>17</v>
      </c>
      <c r="E103" s="3" t="n">
        <v>156500</v>
      </c>
      <c r="F103" s="3" t="n">
        <v>0</v>
      </c>
      <c r="G103" s="3">
        <f>(E103-F103)*設定!$B$3</f>
        <v/>
      </c>
      <c r="H103" s="3">
        <f>E103*設定!$B$3</f>
        <v/>
      </c>
    </row>
    <row r="104">
      <c r="A104" t="inlineStr">
        <is>
          <t>S4-ZY270107A</t>
        </is>
      </c>
      <c r="B104" s="3" t="inlineStr">
        <is>
          <t>湯澤</t>
        </is>
      </c>
      <c r="C104" s="3" t="inlineStr">
        <is>
          <t>2027/01/07</t>
        </is>
      </c>
      <c r="D104" s="3" t="n">
        <v>8</v>
      </c>
      <c r="E104" s="3" t="n">
        <v>115630</v>
      </c>
      <c r="F104" s="3" t="n">
        <v>0</v>
      </c>
      <c r="G104" s="3">
        <f>(E104-F104)*設定!$B$3</f>
        <v/>
      </c>
      <c r="H104" s="3">
        <f>E104*設定!$B$3</f>
        <v/>
      </c>
    </row>
    <row r="105">
      <c r="A105" t="inlineStr">
        <is>
          <t>S4-ZY270108A</t>
        </is>
      </c>
      <c r="B105" s="3" t="inlineStr">
        <is>
          <t>湯澤</t>
        </is>
      </c>
      <c r="C105" s="3" t="inlineStr">
        <is>
          <t>2027/01/08</t>
        </is>
      </c>
      <c r="D105" s="3" t="n">
        <v>18</v>
      </c>
      <c r="E105" s="3" t="n">
        <v>138500</v>
      </c>
      <c r="F105" s="3" t="n">
        <v>0</v>
      </c>
      <c r="G105" s="3">
        <f>(E105-F105)*設定!$B$3</f>
        <v/>
      </c>
      <c r="H105" s="3">
        <f>E105*設定!$B$3</f>
        <v/>
      </c>
    </row>
    <row r="106">
      <c r="A106" t="inlineStr">
        <is>
          <t>S4-ZY270109A</t>
        </is>
      </c>
      <c r="B106" s="3" t="inlineStr">
        <is>
          <t>湯澤</t>
        </is>
      </c>
      <c r="C106" s="3" t="inlineStr">
        <is>
          <t>2027/01/09</t>
        </is>
      </c>
      <c r="D106" s="3" t="n">
        <v>2</v>
      </c>
      <c r="E106" s="3" t="n">
        <v>26000</v>
      </c>
      <c r="F106" s="3" t="n">
        <v>0</v>
      </c>
      <c r="G106" s="3">
        <f>(E106-F106)*設定!$B$3</f>
        <v/>
      </c>
      <c r="H106" s="3">
        <f>E106*設定!$B$3</f>
        <v/>
      </c>
    </row>
    <row r="107">
      <c r="A107" t="inlineStr">
        <is>
          <t>S4-ZY270110A</t>
        </is>
      </c>
      <c r="B107" s="3" t="inlineStr">
        <is>
          <t>湯澤</t>
        </is>
      </c>
      <c r="C107" s="3" t="inlineStr">
        <is>
          <t>2027/01/10</t>
        </is>
      </c>
      <c r="D107" s="3" t="n">
        <v>37</v>
      </c>
      <c r="E107" s="3" t="n">
        <v>299000</v>
      </c>
      <c r="F107" s="3" t="n">
        <v>0</v>
      </c>
      <c r="G107" s="3">
        <f>(E107-F107)*設定!$B$3</f>
        <v/>
      </c>
      <c r="H107" s="3">
        <f>E107*設定!$B$3</f>
        <v/>
      </c>
    </row>
    <row r="108">
      <c r="A108" t="inlineStr">
        <is>
          <t>S4-ZY270111A</t>
        </is>
      </c>
      <c r="B108" s="3" t="inlineStr">
        <is>
          <t>湯澤</t>
        </is>
      </c>
      <c r="C108" s="3" t="inlineStr">
        <is>
          <t>2027/01/11</t>
        </is>
      </c>
      <c r="D108" s="3" t="n">
        <v>18</v>
      </c>
      <c r="E108" s="3" t="n">
        <v>97998</v>
      </c>
      <c r="F108" s="3" t="n">
        <v>0</v>
      </c>
      <c r="G108" s="3">
        <f>(E108-F108)*設定!$B$3</f>
        <v/>
      </c>
      <c r="H108" s="3">
        <f>E108*設定!$B$3</f>
        <v/>
      </c>
    </row>
    <row r="109">
      <c r="A109" t="inlineStr">
        <is>
          <t>S4-ZY270112A</t>
        </is>
      </c>
      <c r="B109" s="3" t="inlineStr">
        <is>
          <t>湯澤</t>
        </is>
      </c>
      <c r="C109" s="3" t="inlineStr">
        <is>
          <t>2027/01/12</t>
        </is>
      </c>
      <c r="D109" s="3" t="n">
        <v>26</v>
      </c>
      <c r="E109" s="3" t="n">
        <v>232000</v>
      </c>
      <c r="F109" s="3" t="n">
        <v>0</v>
      </c>
      <c r="G109" s="3">
        <f>(E109-F109)*設定!$B$3</f>
        <v/>
      </c>
      <c r="H109" s="3">
        <f>E109*設定!$B$3</f>
        <v/>
      </c>
    </row>
    <row r="110">
      <c r="A110" t="inlineStr">
        <is>
          <t>S4-ZY270113A</t>
        </is>
      </c>
      <c r="B110" s="3" t="inlineStr">
        <is>
          <t>湯澤</t>
        </is>
      </c>
      <c r="C110" s="3" t="inlineStr">
        <is>
          <t>2027/01/13</t>
        </is>
      </c>
      <c r="D110" s="3" t="n">
        <v>2</v>
      </c>
      <c r="E110" s="3" t="n">
        <v>28000</v>
      </c>
      <c r="F110" s="3" t="n">
        <v>0</v>
      </c>
      <c r="G110" s="3">
        <f>(E110-F110)*設定!$B$3</f>
        <v/>
      </c>
      <c r="H110" s="3">
        <f>E110*設定!$B$3</f>
        <v/>
      </c>
    </row>
    <row r="111">
      <c r="A111" t="inlineStr">
        <is>
          <t>S4-ZY270114A</t>
        </is>
      </c>
      <c r="B111" s="3" t="inlineStr">
        <is>
          <t>湯澤</t>
        </is>
      </c>
      <c r="C111" s="3" t="inlineStr">
        <is>
          <t>2027/01/14</t>
        </is>
      </c>
      <c r="D111" s="3" t="n">
        <v>21</v>
      </c>
      <c r="E111" s="3" t="n">
        <v>145000</v>
      </c>
      <c r="F111" s="3" t="n">
        <v>0</v>
      </c>
      <c r="G111" s="3">
        <f>(E111-F111)*設定!$B$3</f>
        <v/>
      </c>
      <c r="H111" s="3">
        <f>E111*設定!$B$3</f>
        <v/>
      </c>
    </row>
    <row r="112">
      <c r="A112" t="inlineStr">
        <is>
          <t>S4-ZY270115A</t>
        </is>
      </c>
      <c r="B112" s="3" t="inlineStr">
        <is>
          <t>湯澤</t>
        </is>
      </c>
      <c r="C112" s="3" t="inlineStr">
        <is>
          <t>2027/01/15</t>
        </is>
      </c>
      <c r="D112" s="3" t="n">
        <v>7</v>
      </c>
      <c r="E112" s="3" t="n">
        <v>71000</v>
      </c>
      <c r="F112" s="3" t="n">
        <v>0</v>
      </c>
      <c r="G112" s="3">
        <f>(E112-F112)*設定!$B$3</f>
        <v/>
      </c>
      <c r="H112" s="3">
        <f>E112*設定!$B$3</f>
        <v/>
      </c>
    </row>
    <row r="113">
      <c r="A113" t="inlineStr">
        <is>
          <t>S4-ZY270116A</t>
        </is>
      </c>
      <c r="B113" s="3" t="inlineStr">
        <is>
          <t>湯澤</t>
        </is>
      </c>
      <c r="C113" s="3" t="inlineStr">
        <is>
          <t>2027/01/16</t>
        </is>
      </c>
      <c r="D113" s="3" t="n">
        <v>5</v>
      </c>
      <c r="E113" s="3" t="n">
        <v>32000</v>
      </c>
      <c r="F113" s="3" t="n">
        <v>0</v>
      </c>
      <c r="G113" s="3">
        <f>(E113-F113)*設定!$B$3</f>
        <v/>
      </c>
      <c r="H113" s="3">
        <f>E113*設定!$B$3</f>
        <v/>
      </c>
    </row>
    <row r="114">
      <c r="A114" t="inlineStr">
        <is>
          <t>S4-ZY270117A</t>
        </is>
      </c>
      <c r="B114" s="3" t="inlineStr">
        <is>
          <t>湯澤</t>
        </is>
      </c>
      <c r="C114" s="3" t="inlineStr">
        <is>
          <t>2027/01/17</t>
        </is>
      </c>
      <c r="D114" s="3" t="n">
        <v>6</v>
      </c>
      <c r="E114" s="3" t="n">
        <v>38167</v>
      </c>
      <c r="F114" s="3" t="n">
        <v>0</v>
      </c>
      <c r="G114" s="3">
        <f>(E114-F114)*設定!$B$3</f>
        <v/>
      </c>
      <c r="H114" s="3">
        <f>E114*設定!$B$3</f>
        <v/>
      </c>
    </row>
    <row r="115">
      <c r="A115" t="inlineStr">
        <is>
          <t>S4-ZY270118A</t>
        </is>
      </c>
      <c r="B115" s="3" t="inlineStr">
        <is>
          <t>湯澤</t>
        </is>
      </c>
      <c r="C115" s="3" t="inlineStr">
        <is>
          <t>2027/01/18</t>
        </is>
      </c>
      <c r="D115" s="3" t="n">
        <v>16</v>
      </c>
      <c r="E115" s="3" t="n">
        <v>170667</v>
      </c>
      <c r="F115" s="3" t="n">
        <v>0</v>
      </c>
      <c r="G115" s="3">
        <f>(E115-F115)*設定!$B$3</f>
        <v/>
      </c>
      <c r="H115" s="3">
        <f>E115*設定!$B$3</f>
        <v/>
      </c>
    </row>
    <row r="116">
      <c r="A116" t="inlineStr">
        <is>
          <t>S4-ZY270119A</t>
        </is>
      </c>
      <c r="B116" s="3" t="inlineStr">
        <is>
          <t>湯澤</t>
        </is>
      </c>
      <c r="C116" s="3" t="inlineStr">
        <is>
          <t>2027/01/19</t>
        </is>
      </c>
      <c r="D116" s="3" t="n">
        <v>14</v>
      </c>
      <c r="E116" s="3" t="n">
        <v>210000</v>
      </c>
      <c r="F116" s="3" t="n">
        <v>0</v>
      </c>
      <c r="G116" s="3">
        <f>(E116-F116)*設定!$B$3</f>
        <v/>
      </c>
      <c r="H116" s="3">
        <f>E116*設定!$B$3</f>
        <v/>
      </c>
    </row>
    <row r="117">
      <c r="A117" t="inlineStr">
        <is>
          <t>S4-ZY270120A</t>
        </is>
      </c>
      <c r="B117" s="3" t="inlineStr">
        <is>
          <t>湯澤</t>
        </is>
      </c>
      <c r="C117" s="3" t="inlineStr">
        <is>
          <t>2027/01/20</t>
        </is>
      </c>
      <c r="D117" s="3" t="n">
        <v>9</v>
      </c>
      <c r="E117" s="3" t="n">
        <v>105500</v>
      </c>
      <c r="F117" s="3" t="n">
        <v>0</v>
      </c>
      <c r="G117" s="3">
        <f>(E117-F117)*設定!$B$3</f>
        <v/>
      </c>
      <c r="H117" s="3">
        <f>E117*設定!$B$3</f>
        <v/>
      </c>
    </row>
    <row r="118">
      <c r="A118" t="inlineStr">
        <is>
          <t>S4-ZY270121A</t>
        </is>
      </c>
      <c r="B118" s="3" t="inlineStr">
        <is>
          <t>湯澤</t>
        </is>
      </c>
      <c r="C118" s="3" t="inlineStr">
        <is>
          <t>2027/01/21</t>
        </is>
      </c>
      <c r="D118" s="3" t="n">
        <v>9</v>
      </c>
      <c r="E118" s="3" t="n">
        <v>70165</v>
      </c>
      <c r="F118" s="3" t="n">
        <v>0</v>
      </c>
      <c r="G118" s="3">
        <f>(E118-F118)*設定!$B$3</f>
        <v/>
      </c>
      <c r="H118" s="3">
        <f>E118*設定!$B$3</f>
        <v/>
      </c>
    </row>
    <row r="119">
      <c r="A119" t="inlineStr">
        <is>
          <t>S4-ZY270122A</t>
        </is>
      </c>
      <c r="B119" s="3" t="inlineStr">
        <is>
          <t>湯澤</t>
        </is>
      </c>
      <c r="C119" s="3" t="inlineStr">
        <is>
          <t>2027/01/22</t>
        </is>
      </c>
      <c r="D119" s="3" t="n">
        <v>8</v>
      </c>
      <c r="E119" s="3" t="n">
        <v>81000</v>
      </c>
      <c r="F119" s="3" t="n">
        <v>0</v>
      </c>
      <c r="G119" s="3">
        <f>(E119-F119)*設定!$B$3</f>
        <v/>
      </c>
      <c r="H119" s="3">
        <f>E119*設定!$B$3</f>
        <v/>
      </c>
    </row>
    <row r="120">
      <c r="A120" t="inlineStr">
        <is>
          <t>S4-ZY270123A</t>
        </is>
      </c>
      <c r="B120" s="3" t="inlineStr">
        <is>
          <t>湯澤</t>
        </is>
      </c>
      <c r="C120" s="3" t="inlineStr">
        <is>
          <t>2027/01/23</t>
        </is>
      </c>
      <c r="D120" s="3" t="n">
        <v>5</v>
      </c>
      <c r="E120" s="3" t="n">
        <v>34000</v>
      </c>
      <c r="F120" s="3" t="n">
        <v>0</v>
      </c>
      <c r="G120" s="3">
        <f>(E120-F120)*設定!$B$3</f>
        <v/>
      </c>
      <c r="H120" s="3">
        <f>E120*設定!$B$3</f>
        <v/>
      </c>
    </row>
    <row r="121">
      <c r="A121" t="inlineStr">
        <is>
          <t>S4-ZY270125A</t>
        </is>
      </c>
      <c r="B121" s="3" t="inlineStr">
        <is>
          <t>湯澤</t>
        </is>
      </c>
      <c r="C121" s="3" t="inlineStr">
        <is>
          <t>2027/01/25</t>
        </is>
      </c>
      <c r="D121" s="3" t="n">
        <v>9</v>
      </c>
      <c r="E121" s="3" t="n">
        <v>87400</v>
      </c>
      <c r="F121" s="3" t="n">
        <v>0</v>
      </c>
      <c r="G121" s="3">
        <f>(E121-F121)*設定!$B$3</f>
        <v/>
      </c>
      <c r="H121" s="3">
        <f>E121*設定!$B$3</f>
        <v/>
      </c>
    </row>
    <row r="122">
      <c r="A122" t="inlineStr">
        <is>
          <t>S4-ZY270126A</t>
        </is>
      </c>
      <c r="B122" s="3" t="inlineStr">
        <is>
          <t>湯澤</t>
        </is>
      </c>
      <c r="C122" s="3" t="inlineStr">
        <is>
          <t>2027/01/26</t>
        </is>
      </c>
      <c r="D122" s="3" t="n">
        <v>7</v>
      </c>
      <c r="E122" s="3" t="n">
        <v>72000</v>
      </c>
      <c r="F122" s="3" t="n">
        <v>0</v>
      </c>
      <c r="G122" s="3">
        <f>(E122-F122)*設定!$B$3</f>
        <v/>
      </c>
      <c r="H122" s="3">
        <f>E122*設定!$B$3</f>
        <v/>
      </c>
    </row>
    <row r="123">
      <c r="A123" t="inlineStr">
        <is>
          <t>S4-ZY270127A</t>
        </is>
      </c>
      <c r="B123" s="3" t="inlineStr">
        <is>
          <t>湯澤</t>
        </is>
      </c>
      <c r="C123" s="3" t="inlineStr">
        <is>
          <t>2027/01/27</t>
        </is>
      </c>
      <c r="D123" s="3" t="n">
        <v>6</v>
      </c>
      <c r="E123" s="3" t="n">
        <v>29000</v>
      </c>
      <c r="F123" s="3" t="n">
        <v>0</v>
      </c>
      <c r="G123" s="3">
        <f>(E123-F123)*設定!$B$3</f>
        <v/>
      </c>
      <c r="H123" s="3">
        <f>E123*設定!$B$3</f>
        <v/>
      </c>
    </row>
    <row r="124">
      <c r="A124" t="inlineStr">
        <is>
          <t>S4-ZY270128A</t>
        </is>
      </c>
      <c r="B124" s="3" t="inlineStr">
        <is>
          <t>湯澤</t>
        </is>
      </c>
      <c r="C124" s="3" t="inlineStr">
        <is>
          <t>2027/01/28</t>
        </is>
      </c>
      <c r="D124" s="3" t="n">
        <v>17</v>
      </c>
      <c r="E124" s="3" t="n">
        <v>199000</v>
      </c>
      <c r="F124" s="3" t="n">
        <v>0</v>
      </c>
      <c r="G124" s="3">
        <f>(E124-F124)*設定!$B$3</f>
        <v/>
      </c>
      <c r="H124" s="3">
        <f>E124*設定!$B$3</f>
        <v/>
      </c>
    </row>
    <row r="125">
      <c r="A125" t="inlineStr">
        <is>
          <t>S4-ZY270129A</t>
        </is>
      </c>
      <c r="B125" s="3" t="inlineStr">
        <is>
          <t>湯澤</t>
        </is>
      </c>
      <c r="C125" s="3" t="inlineStr">
        <is>
          <t>2027/01/29</t>
        </is>
      </c>
      <c r="D125" s="3" t="n">
        <v>5</v>
      </c>
      <c r="E125" s="3" t="n">
        <v>110500</v>
      </c>
      <c r="F125" s="3" t="n">
        <v>0</v>
      </c>
      <c r="G125" s="3">
        <f>(E125-F125)*設定!$B$3</f>
        <v/>
      </c>
      <c r="H125" s="3">
        <f>E125*設定!$B$3</f>
        <v/>
      </c>
    </row>
    <row r="126">
      <c r="A126" t="inlineStr">
        <is>
          <t>S4-ZY270130A</t>
        </is>
      </c>
      <c r="B126" s="3" t="inlineStr">
        <is>
          <t>湯澤</t>
        </is>
      </c>
      <c r="C126" s="3" t="inlineStr">
        <is>
          <t>2027/01/30</t>
        </is>
      </c>
      <c r="D126" s="3" t="n">
        <v>6</v>
      </c>
      <c r="E126" s="3" t="n">
        <v>45000</v>
      </c>
      <c r="F126" s="3" t="n">
        <v>0</v>
      </c>
      <c r="G126" s="3">
        <f>(E126-F126)*設定!$B$3</f>
        <v/>
      </c>
      <c r="H126" s="3">
        <f>E126*設定!$B$3</f>
        <v/>
      </c>
    </row>
    <row r="127">
      <c r="A127" t="inlineStr">
        <is>
          <t>S4-ZY270131A</t>
        </is>
      </c>
      <c r="B127" s="3" t="inlineStr">
        <is>
          <t>湯澤</t>
        </is>
      </c>
      <c r="C127" s="3" t="inlineStr">
        <is>
          <t>2027/01/31</t>
        </is>
      </c>
      <c r="D127" s="3" t="n">
        <v>4</v>
      </c>
      <c r="E127" s="3" t="n">
        <v>45000</v>
      </c>
      <c r="F127" s="3" t="n">
        <v>0</v>
      </c>
      <c r="G127" s="3">
        <f>(E127-F127)*設定!$B$3</f>
        <v/>
      </c>
      <c r="H127" s="3">
        <f>E127*設定!$B$3</f>
        <v/>
      </c>
    </row>
    <row r="128">
      <c r="A128" t="inlineStr">
        <is>
          <t>S4-ZY270201A</t>
        </is>
      </c>
      <c r="B128" s="3" t="inlineStr">
        <is>
          <t>湯澤</t>
        </is>
      </c>
      <c r="C128" s="3" t="inlineStr">
        <is>
          <t>2027/02/01</t>
        </is>
      </c>
      <c r="D128" s="3" t="n">
        <v>6</v>
      </c>
      <c r="E128" s="3" t="n">
        <v>44000</v>
      </c>
      <c r="F128" s="3" t="n">
        <v>0</v>
      </c>
      <c r="G128" s="3">
        <f>(E128-F128)*設定!$B$3</f>
        <v/>
      </c>
      <c r="H128" s="3">
        <f>E128*設定!$B$3</f>
        <v/>
      </c>
    </row>
    <row r="129">
      <c r="A129" t="inlineStr">
        <is>
          <t>S4-ZY270205A</t>
        </is>
      </c>
      <c r="B129" s="3" t="inlineStr">
        <is>
          <t>湯澤</t>
        </is>
      </c>
      <c r="C129" s="3" t="inlineStr">
        <is>
          <t>2027/02/05</t>
        </is>
      </c>
      <c r="D129" s="3" t="n">
        <v>4</v>
      </c>
      <c r="E129" s="3" t="n">
        <v>30000</v>
      </c>
      <c r="F129" s="3" t="n">
        <v>0</v>
      </c>
      <c r="G129" s="3">
        <f>(E129-F129)*設定!$B$3</f>
        <v/>
      </c>
      <c r="H129" s="3">
        <f>E129*設定!$B$3</f>
        <v/>
      </c>
    </row>
    <row r="130">
      <c r="A130" t="inlineStr">
        <is>
          <t>S4-ZY270206A</t>
        </is>
      </c>
      <c r="B130" s="3" t="inlineStr">
        <is>
          <t>湯澤</t>
        </is>
      </c>
      <c r="C130" s="3" t="inlineStr">
        <is>
          <t>2027/02/06</t>
        </is>
      </c>
      <c r="D130" s="3" t="n">
        <v>2</v>
      </c>
      <c r="E130" s="3" t="n">
        <v>14000</v>
      </c>
      <c r="F130" s="3" t="n">
        <v>0</v>
      </c>
      <c r="G130" s="3">
        <f>(E130-F130)*設定!$B$3</f>
        <v/>
      </c>
      <c r="H130" s="3">
        <f>E130*設定!$B$3</f>
        <v/>
      </c>
    </row>
    <row r="131">
      <c r="A131" t="inlineStr">
        <is>
          <t>S4-ZY270208A</t>
        </is>
      </c>
      <c r="B131" s="3" t="inlineStr">
        <is>
          <t>湯澤</t>
        </is>
      </c>
      <c r="C131" s="3" t="inlineStr">
        <is>
          <t>2027/02/08</t>
        </is>
      </c>
      <c r="D131" s="3" t="n">
        <v>7</v>
      </c>
      <c r="E131" s="3" t="n">
        <v>48500</v>
      </c>
      <c r="F131" s="3" t="n">
        <v>0</v>
      </c>
      <c r="G131" s="3">
        <f>(E131-F131)*設定!$B$3</f>
        <v/>
      </c>
      <c r="H131" s="3">
        <f>E131*設定!$B$3</f>
        <v/>
      </c>
    </row>
    <row r="132">
      <c r="A132" t="inlineStr">
        <is>
          <t>S4-ZY270209A</t>
        </is>
      </c>
      <c r="B132" s="3" t="inlineStr">
        <is>
          <t>湯澤</t>
        </is>
      </c>
      <c r="C132" s="3" t="inlineStr">
        <is>
          <t>2027/02/09</t>
        </is>
      </c>
      <c r="D132" s="3" t="n">
        <v>1</v>
      </c>
      <c r="E132" s="3" t="n">
        <v>3750</v>
      </c>
      <c r="F132" s="3" t="n">
        <v>0</v>
      </c>
      <c r="G132" s="3">
        <f>(E132-F132)*設定!$B$3</f>
        <v/>
      </c>
      <c r="H132" s="3">
        <f>E132*設定!$B$3</f>
        <v/>
      </c>
    </row>
    <row r="133">
      <c r="A133" t="inlineStr">
        <is>
          <t>S4-ZY270211A</t>
        </is>
      </c>
      <c r="B133" s="3" t="inlineStr">
        <is>
          <t>湯澤</t>
        </is>
      </c>
      <c r="C133" s="3" t="inlineStr">
        <is>
          <t>2027/02/11</t>
        </is>
      </c>
      <c r="D133" s="3" t="n">
        <v>8</v>
      </c>
      <c r="E133" s="3" t="n">
        <v>89334</v>
      </c>
      <c r="F133" s="3" t="n">
        <v>0</v>
      </c>
      <c r="G133" s="3">
        <f>(E133-F133)*設定!$B$3</f>
        <v/>
      </c>
      <c r="H133" s="3">
        <f>E133*設定!$B$3</f>
        <v/>
      </c>
    </row>
    <row r="134">
      <c r="A134" t="inlineStr">
        <is>
          <t>S4-ZY270214A</t>
        </is>
      </c>
      <c r="B134" s="3" t="inlineStr">
        <is>
          <t>湯澤</t>
        </is>
      </c>
      <c r="C134" s="3" t="inlineStr">
        <is>
          <t>2027/02/14</t>
        </is>
      </c>
      <c r="D134" s="3" t="n">
        <v>2</v>
      </c>
      <c r="E134" s="3" t="n">
        <v>13000</v>
      </c>
      <c r="F134" s="3" t="n">
        <v>0</v>
      </c>
      <c r="G134" s="3">
        <f>(E134-F134)*設定!$B$3</f>
        <v/>
      </c>
      <c r="H134" s="3">
        <f>E134*設定!$B$3</f>
        <v/>
      </c>
    </row>
    <row r="135">
      <c r="A135" t="inlineStr">
        <is>
          <t>S4-ZY270215A</t>
        </is>
      </c>
      <c r="B135" s="3" t="inlineStr">
        <is>
          <t>湯澤</t>
        </is>
      </c>
      <c r="C135" s="3" t="inlineStr">
        <is>
          <t>2027/02/15</t>
        </is>
      </c>
      <c r="D135" s="3" t="n">
        <v>2</v>
      </c>
      <c r="E135" s="3" t="n">
        <v>25000</v>
      </c>
      <c r="F135" s="3" t="n">
        <v>0</v>
      </c>
      <c r="G135" s="3">
        <f>(E135-F135)*設定!$B$3</f>
        <v/>
      </c>
      <c r="H135" s="3">
        <f>E135*設定!$B$3</f>
        <v/>
      </c>
    </row>
    <row r="136">
      <c r="A136" t="inlineStr">
        <is>
          <t>S4-ZY270216A</t>
        </is>
      </c>
      <c r="B136" s="3" t="inlineStr">
        <is>
          <t>湯澤</t>
        </is>
      </c>
      <c r="C136" s="3" t="inlineStr">
        <is>
          <t>2027/02/16</t>
        </is>
      </c>
      <c r="D136" s="3" t="n">
        <v>10</v>
      </c>
      <c r="E136" s="3" t="n">
        <v>79000</v>
      </c>
      <c r="F136" s="3" t="n">
        <v>0</v>
      </c>
      <c r="G136" s="3">
        <f>(E136-F136)*設定!$B$3</f>
        <v/>
      </c>
      <c r="H136" s="3">
        <f>E136*設定!$B$3</f>
        <v/>
      </c>
    </row>
    <row r="137">
      <c r="A137" t="inlineStr">
        <is>
          <t>S4-ZY270218A</t>
        </is>
      </c>
      <c r="B137" s="3" t="inlineStr">
        <is>
          <t>湯澤</t>
        </is>
      </c>
      <c r="C137" s="3" t="inlineStr">
        <is>
          <t>2027/02/18</t>
        </is>
      </c>
      <c r="D137" s="3" t="n">
        <v>10</v>
      </c>
      <c r="E137" s="3" t="n">
        <v>82000</v>
      </c>
      <c r="F137" s="3" t="n">
        <v>0</v>
      </c>
      <c r="G137" s="3">
        <f>(E137-F137)*設定!$B$3</f>
        <v/>
      </c>
      <c r="H137" s="3">
        <f>E137*設定!$B$3</f>
        <v/>
      </c>
    </row>
    <row r="138">
      <c r="A138" t="inlineStr">
        <is>
          <t>S4-ZY270219A</t>
        </is>
      </c>
      <c r="B138" s="3" t="inlineStr">
        <is>
          <t>湯澤</t>
        </is>
      </c>
      <c r="C138" s="3" t="inlineStr">
        <is>
          <t>2027/02/19</t>
        </is>
      </c>
      <c r="D138" s="3" t="n">
        <v>11</v>
      </c>
      <c r="E138" s="3" t="n">
        <v>115300</v>
      </c>
      <c r="F138" s="3" t="n">
        <v>0</v>
      </c>
      <c r="G138" s="3">
        <f>(E138-F138)*設定!$B$3</f>
        <v/>
      </c>
      <c r="H138" s="3">
        <f>E138*設定!$B$3</f>
        <v/>
      </c>
    </row>
    <row r="139">
      <c r="A139" t="inlineStr">
        <is>
          <t>S4-ZY270220A</t>
        </is>
      </c>
      <c r="B139" s="3" t="inlineStr">
        <is>
          <t>湯澤</t>
        </is>
      </c>
      <c r="C139" s="3" t="inlineStr">
        <is>
          <t>2027/02/20</t>
        </is>
      </c>
      <c r="D139" s="3" t="n">
        <v>9</v>
      </c>
      <c r="E139" s="3" t="n">
        <v>84000</v>
      </c>
      <c r="F139" s="3" t="n">
        <v>0</v>
      </c>
      <c r="G139" s="3">
        <f>(E139-F139)*設定!$B$3</f>
        <v/>
      </c>
      <c r="H139" s="3">
        <f>E139*設定!$B$3</f>
        <v/>
      </c>
    </row>
    <row r="140">
      <c r="A140" t="inlineStr">
        <is>
          <t>S4-ZY270221A</t>
        </is>
      </c>
      <c r="B140" s="3" t="inlineStr">
        <is>
          <t>湯澤</t>
        </is>
      </c>
      <c r="C140" s="3" t="inlineStr">
        <is>
          <t>2027/02/21</t>
        </is>
      </c>
      <c r="D140" s="3" t="n">
        <v>1</v>
      </c>
      <c r="E140" s="3" t="n">
        <v>12500</v>
      </c>
      <c r="F140" s="3" t="n">
        <v>0</v>
      </c>
      <c r="G140" s="3">
        <f>(E140-F140)*設定!$B$3</f>
        <v/>
      </c>
      <c r="H140" s="3">
        <f>E140*設定!$B$3</f>
        <v/>
      </c>
    </row>
    <row r="141">
      <c r="A141" t="inlineStr">
        <is>
          <t>S4-ZY270222A</t>
        </is>
      </c>
      <c r="B141" s="3" t="inlineStr">
        <is>
          <t>湯澤</t>
        </is>
      </c>
      <c r="C141" s="3" t="inlineStr">
        <is>
          <t>2027/02/22</t>
        </is>
      </c>
      <c r="D141" s="3" t="n">
        <v>12</v>
      </c>
      <c r="E141" s="3" t="n">
        <v>93998</v>
      </c>
      <c r="F141" s="3" t="n">
        <v>0</v>
      </c>
      <c r="G141" s="3">
        <f>(E141-F141)*設定!$B$3</f>
        <v/>
      </c>
      <c r="H141" s="3">
        <f>E141*設定!$B$3</f>
        <v/>
      </c>
    </row>
    <row r="142">
      <c r="A142" t="inlineStr">
        <is>
          <t>S4-ZY270224A</t>
        </is>
      </c>
      <c r="B142" s="3" t="inlineStr">
        <is>
          <t>湯澤</t>
        </is>
      </c>
      <c r="C142" s="3" t="inlineStr">
        <is>
          <t>2027/02/24</t>
        </is>
      </c>
      <c r="D142" s="3" t="n">
        <v>3</v>
      </c>
      <c r="E142" s="3" t="n">
        <v>21000</v>
      </c>
      <c r="F142" s="3" t="n">
        <v>0</v>
      </c>
      <c r="G142" s="3">
        <f>(E142-F142)*設定!$B$3</f>
        <v/>
      </c>
      <c r="H142" s="3">
        <f>E142*設定!$B$3</f>
        <v/>
      </c>
    </row>
    <row r="143">
      <c r="A143" t="inlineStr">
        <is>
          <t>S4-ZY270225A</t>
        </is>
      </c>
      <c r="B143" s="3" t="inlineStr">
        <is>
          <t>湯澤</t>
        </is>
      </c>
      <c r="C143" s="3" t="inlineStr">
        <is>
          <t>2027/02/25</t>
        </is>
      </c>
      <c r="D143" s="3" t="n">
        <v>35</v>
      </c>
      <c r="E143" s="3" t="n">
        <v>227004</v>
      </c>
      <c r="F143" s="3" t="n">
        <v>0</v>
      </c>
      <c r="G143" s="3">
        <f>(E143-F143)*設定!$B$3</f>
        <v/>
      </c>
      <c r="H143" s="3">
        <f>E143*設定!$B$3</f>
        <v/>
      </c>
    </row>
    <row r="144">
      <c r="A144" t="inlineStr">
        <is>
          <t>S4-ZY270226A</t>
        </is>
      </c>
      <c r="B144" s="3" t="inlineStr">
        <is>
          <t>湯澤</t>
        </is>
      </c>
      <c r="C144" s="3" t="inlineStr">
        <is>
          <t>2027/02/26</t>
        </is>
      </c>
      <c r="D144" s="3" t="n">
        <v>4</v>
      </c>
      <c r="E144" s="3" t="n">
        <v>32000</v>
      </c>
      <c r="F144" s="3" t="n">
        <v>0</v>
      </c>
      <c r="G144" s="3">
        <f>(E144-F144)*設定!$B$3</f>
        <v/>
      </c>
      <c r="H144" s="3">
        <f>E144*設定!$B$3</f>
        <v/>
      </c>
    </row>
    <row r="145">
      <c r="A145" t="inlineStr">
        <is>
          <t>S4-ZY270227A</t>
        </is>
      </c>
      <c r="B145" s="3" t="inlineStr">
        <is>
          <t>湯澤</t>
        </is>
      </c>
      <c r="C145" s="3" t="inlineStr">
        <is>
          <t>2027/02/27</t>
        </is>
      </c>
      <c r="D145" s="3" t="n">
        <v>4</v>
      </c>
      <c r="E145" s="3" t="n">
        <v>60000</v>
      </c>
      <c r="F145" s="3" t="n">
        <v>0</v>
      </c>
      <c r="G145" s="3">
        <f>(E145-F145)*設定!$B$3</f>
        <v/>
      </c>
      <c r="H145" s="3">
        <f>E145*設定!$B$3</f>
        <v/>
      </c>
    </row>
    <row r="146">
      <c r="A146" t="inlineStr">
        <is>
          <t>S4-ZY270301A</t>
        </is>
      </c>
      <c r="B146" s="3" t="inlineStr">
        <is>
          <t>湯澤</t>
        </is>
      </c>
      <c r="C146" s="3" t="inlineStr">
        <is>
          <t>2027/03/01</t>
        </is>
      </c>
      <c r="D146" s="3" t="n">
        <v>3</v>
      </c>
      <c r="E146" s="3" t="n">
        <v>32000</v>
      </c>
      <c r="F146" s="3" t="n">
        <v>0</v>
      </c>
      <c r="G146" s="3">
        <f>(E146-F146)*設定!$B$3</f>
        <v/>
      </c>
      <c r="H146" s="3">
        <f>E146*設定!$B$3</f>
        <v/>
      </c>
    </row>
    <row r="147">
      <c r="A147" t="inlineStr">
        <is>
          <t>S4-ZY270302A</t>
        </is>
      </c>
      <c r="B147" s="3" t="inlineStr">
        <is>
          <t>湯澤</t>
        </is>
      </c>
      <c r="C147" s="3" t="inlineStr">
        <is>
          <t>2027/03/02</t>
        </is>
      </c>
      <c r="D147" s="3" t="n">
        <v>4</v>
      </c>
      <c r="E147" s="3" t="n">
        <v>16000</v>
      </c>
      <c r="F147" s="3" t="n">
        <v>0</v>
      </c>
      <c r="G147" s="3">
        <f>(E147-F147)*設定!$B$3</f>
        <v/>
      </c>
      <c r="H147" s="3">
        <f>E147*設定!$B$3</f>
        <v/>
      </c>
    </row>
    <row r="148">
      <c r="A148" t="inlineStr">
        <is>
          <t>S4-ZY270304A</t>
        </is>
      </c>
      <c r="B148" s="3" t="inlineStr">
        <is>
          <t>湯澤</t>
        </is>
      </c>
      <c r="C148" s="3" t="inlineStr">
        <is>
          <t>2027/03/04</t>
        </is>
      </c>
      <c r="D148" s="3" t="n">
        <v>8</v>
      </c>
      <c r="E148" s="3" t="n">
        <v>30000</v>
      </c>
      <c r="F148" s="3" t="n">
        <v>0</v>
      </c>
      <c r="G148" s="3">
        <f>(E148-F148)*設定!$B$3</f>
        <v/>
      </c>
      <c r="H148" s="3">
        <f>E148*設定!$B$3</f>
        <v/>
      </c>
    </row>
    <row r="149">
      <c r="A149" t="inlineStr">
        <is>
          <t>S4-ZY270305A</t>
        </is>
      </c>
      <c r="B149" s="3" t="inlineStr">
        <is>
          <t>湯澤</t>
        </is>
      </c>
      <c r="C149" s="3" t="inlineStr">
        <is>
          <t>2027/03/05</t>
        </is>
      </c>
      <c r="D149" s="3" t="n">
        <v>6</v>
      </c>
      <c r="E149" s="3" t="n">
        <v>58000</v>
      </c>
      <c r="F149" s="3" t="n">
        <v>0</v>
      </c>
      <c r="G149" s="3">
        <f>(E149-F149)*設定!$B$3</f>
        <v/>
      </c>
      <c r="H149" s="3">
        <f>E149*設定!$B$3</f>
        <v/>
      </c>
    </row>
    <row r="150">
      <c r="A150" t="inlineStr">
        <is>
          <t>S4-ZY270306A</t>
        </is>
      </c>
      <c r="B150" s="3" t="inlineStr">
        <is>
          <t>湯澤</t>
        </is>
      </c>
      <c r="C150" s="3" t="inlineStr">
        <is>
          <t>2027/03/06</t>
        </is>
      </c>
      <c r="D150" s="3" t="n">
        <v>5</v>
      </c>
      <c r="E150" s="3" t="n">
        <v>29000</v>
      </c>
      <c r="F150" s="3" t="n">
        <v>0</v>
      </c>
      <c r="G150" s="3">
        <f>(E150-F150)*設定!$B$3</f>
        <v/>
      </c>
      <c r="H150" s="3">
        <f>E150*設定!$B$3</f>
        <v/>
      </c>
    </row>
    <row r="151">
      <c r="A151" t="inlineStr">
        <is>
          <t>S4-ZY270308A</t>
        </is>
      </c>
      <c r="B151" s="3" t="inlineStr">
        <is>
          <t>湯澤</t>
        </is>
      </c>
      <c r="C151" s="3" t="inlineStr">
        <is>
          <t>2027/03/08</t>
        </is>
      </c>
      <c r="D151" s="3" t="n">
        <v>11</v>
      </c>
      <c r="E151" s="3" t="n">
        <v>70000</v>
      </c>
      <c r="F151" s="3" t="n">
        <v>0</v>
      </c>
      <c r="G151" s="3">
        <f>(E151-F151)*設定!$B$3</f>
        <v/>
      </c>
      <c r="H151" s="3">
        <f>E151*設定!$B$3</f>
        <v/>
      </c>
    </row>
    <row r="152">
      <c r="A152" t="inlineStr">
        <is>
          <t>S4-ZY270309A</t>
        </is>
      </c>
      <c r="B152" s="3" t="inlineStr">
        <is>
          <t>湯澤</t>
        </is>
      </c>
      <c r="C152" s="3" t="inlineStr">
        <is>
          <t>2027/03/09</t>
        </is>
      </c>
      <c r="D152" s="3" t="n">
        <v>8</v>
      </c>
      <c r="E152" s="3" t="n">
        <v>45002</v>
      </c>
      <c r="F152" s="3" t="n">
        <v>0</v>
      </c>
      <c r="G152" s="3">
        <f>(E152-F152)*設定!$B$3</f>
        <v/>
      </c>
      <c r="H152" s="3">
        <f>E152*設定!$B$3</f>
        <v/>
      </c>
    </row>
    <row r="153">
      <c r="A153" t="inlineStr">
        <is>
          <t>S4-ZY270310A</t>
        </is>
      </c>
      <c r="B153" s="3" t="inlineStr">
        <is>
          <t>湯澤</t>
        </is>
      </c>
      <c r="C153" s="3" t="inlineStr">
        <is>
          <t>2027/03/10</t>
        </is>
      </c>
      <c r="D153" s="3" t="n">
        <v>9</v>
      </c>
      <c r="E153" s="3" t="n">
        <v>85667</v>
      </c>
      <c r="F153" s="3" t="n">
        <v>0</v>
      </c>
      <c r="G153" s="3">
        <f>(E153-F153)*設定!$B$3</f>
        <v/>
      </c>
      <c r="H153" s="3">
        <f>E153*設定!$B$3</f>
        <v/>
      </c>
    </row>
    <row r="154">
      <c r="A154" t="inlineStr">
        <is>
          <t>S4-ZY270313A</t>
        </is>
      </c>
      <c r="B154" s="3" t="inlineStr">
        <is>
          <t>湯澤</t>
        </is>
      </c>
      <c r="C154" s="3" t="inlineStr">
        <is>
          <t>2027/03/13</t>
        </is>
      </c>
      <c r="D154" s="3" t="n">
        <v>1</v>
      </c>
      <c r="E154" s="3" t="n">
        <v>14000</v>
      </c>
      <c r="F154" s="3" t="n">
        <v>0</v>
      </c>
      <c r="G154" s="3">
        <f>(E154-F154)*設定!$B$3</f>
        <v/>
      </c>
      <c r="H154" s="3">
        <f>E154*設定!$B$3</f>
        <v/>
      </c>
    </row>
    <row r="155">
      <c r="A155" t="inlineStr">
        <is>
          <t>S4-ZY270316A</t>
        </is>
      </c>
      <c r="B155" s="3" t="inlineStr">
        <is>
          <t>湯澤</t>
        </is>
      </c>
      <c r="C155" s="3" t="inlineStr">
        <is>
          <t>2027/03/16</t>
        </is>
      </c>
      <c r="D155" s="3" t="n">
        <v>2</v>
      </c>
      <c r="E155" s="3" t="n">
        <v>26000</v>
      </c>
      <c r="F155" s="3" t="n">
        <v>0</v>
      </c>
      <c r="G155" s="3">
        <f>(E155-F155)*設定!$B$3</f>
        <v/>
      </c>
      <c r="H155" s="3">
        <f>E155*設定!$B$3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無法辨識或客製團(NC、DBC-NC 等),保留原始資料,不計算</t>
        </is>
      </c>
    </row>
    <row r="3">
      <c r="A3" s="2" t="inlineStr">
        <is>
          <t>團號</t>
        </is>
      </c>
      <c r="B3" s="2" t="inlineStr">
        <is>
          <t>出發日期</t>
        </is>
      </c>
      <c r="C3" s="2" t="inlineStr">
        <is>
          <t>報名日期</t>
        </is>
      </c>
      <c r="D3" s="2" t="inlineStr">
        <is>
          <t>訂單編號</t>
        </is>
      </c>
      <c r="E3" s="2" t="inlineStr">
        <is>
          <t>旅客編號</t>
        </is>
      </c>
      <c r="F3" s="2" t="inlineStr">
        <is>
          <t>中文姓名</t>
        </is>
      </c>
      <c r="G3" s="2" t="inlineStr">
        <is>
          <t>LEVEL</t>
        </is>
      </c>
      <c r="H3" s="2" t="inlineStr">
        <is>
          <t>滑雪類別</t>
        </is>
      </c>
      <c r="I3" s="2" t="inlineStr">
        <is>
          <t>團費</t>
        </is>
      </c>
    </row>
    <row r="4">
      <c r="A4" t="inlineStr">
        <is>
          <t>S4-J-NC261221A</t>
        </is>
      </c>
      <c r="B4" t="inlineStr">
        <is>
          <t>2026/12/21</t>
        </is>
      </c>
      <c r="C4" t="inlineStr">
        <is>
          <t>2026/05/01</t>
        </is>
      </c>
      <c r="D4" t="inlineStr">
        <is>
          <t>00005397</t>
        </is>
      </c>
      <c r="E4" t="inlineStr">
        <is>
          <t>0002016</t>
        </is>
      </c>
      <c r="F4" t="inlineStr">
        <is>
          <t>洪靖雯</t>
        </is>
      </c>
      <c r="G4" t="inlineStr">
        <is>
          <t>Level4</t>
        </is>
      </c>
      <c r="H4" t="inlineStr">
        <is>
          <t>單板</t>
        </is>
      </c>
      <c r="I4" t="inlineStr">
        <is>
          <t>63900</t>
        </is>
      </c>
    </row>
    <row r="5">
      <c r="A5" t="inlineStr">
        <is>
          <t>S4-J-NC261221A</t>
        </is>
      </c>
      <c r="B5" t="inlineStr">
        <is>
          <t>2026/12/21</t>
        </is>
      </c>
      <c r="C5" t="inlineStr">
        <is>
          <t>2026/05/01</t>
        </is>
      </c>
      <c r="D5" t="inlineStr">
        <is>
          <t>00005397</t>
        </is>
      </c>
      <c r="E5" t="inlineStr">
        <is>
          <t>0009086</t>
        </is>
      </c>
      <c r="F5" t="inlineStr">
        <is>
          <t>楊品萱</t>
        </is>
      </c>
      <c r="G5" t="inlineStr">
        <is>
          <t>Level3</t>
        </is>
      </c>
      <c r="H5" t="inlineStr">
        <is>
          <t>單板</t>
        </is>
      </c>
      <c r="I5" t="inlineStr">
        <is>
          <t>67900</t>
        </is>
      </c>
    </row>
    <row r="6">
      <c r="A6" t="inlineStr">
        <is>
          <t>S4-J-NC261221A</t>
        </is>
      </c>
      <c r="B6" t="inlineStr">
        <is>
          <t>2026/12/21</t>
        </is>
      </c>
      <c r="C6" t="inlineStr">
        <is>
          <t>2026/05/01</t>
        </is>
      </c>
      <c r="D6" t="inlineStr">
        <is>
          <t>00005397</t>
        </is>
      </c>
      <c r="E6" t="inlineStr">
        <is>
          <t>0002021</t>
        </is>
      </c>
      <c r="F6" t="inlineStr">
        <is>
          <t>郭懷恩</t>
        </is>
      </c>
      <c r="G6" t="inlineStr">
        <is>
          <t>Level4</t>
        </is>
      </c>
      <c r="H6" t="inlineStr">
        <is>
          <t>單板</t>
        </is>
      </c>
      <c r="I6" t="inlineStr">
        <is>
          <t>63900</t>
        </is>
      </c>
    </row>
    <row r="7">
      <c r="A7" t="inlineStr">
        <is>
          <t>S4-J-NC261221A</t>
        </is>
      </c>
      <c r="B7" t="inlineStr">
        <is>
          <t>2026/12/21</t>
        </is>
      </c>
      <c r="C7" t="inlineStr">
        <is>
          <t>2026/05/01</t>
        </is>
      </c>
      <c r="D7" t="inlineStr">
        <is>
          <t>00005397</t>
        </is>
      </c>
      <c r="E7" t="inlineStr">
        <is>
          <t>0010963</t>
        </is>
      </c>
      <c r="F7" t="inlineStr">
        <is>
          <t>陳于書</t>
        </is>
      </c>
      <c r="G7" t="inlineStr">
        <is>
          <t>Level2</t>
        </is>
      </c>
      <c r="H7" t="inlineStr">
        <is>
          <t>單板</t>
        </is>
      </c>
      <c r="I7" t="inlineStr">
        <is>
          <t>69900</t>
        </is>
      </c>
    </row>
    <row r="8">
      <c r="A8" t="inlineStr">
        <is>
          <t>DBC-NC270104A</t>
        </is>
      </c>
      <c r="B8" t="inlineStr">
        <is>
          <t>2027/01/04</t>
        </is>
      </c>
      <c r="C8" t="inlineStr">
        <is>
          <t>2026/10/08</t>
        </is>
      </c>
      <c r="D8" t="inlineStr">
        <is>
          <t>00006472</t>
        </is>
      </c>
      <c r="F8" t="inlineStr">
        <is>
          <t>旅客1</t>
        </is>
      </c>
      <c r="I8" t="inlineStr">
        <is>
          <t>60900</t>
        </is>
      </c>
    </row>
    <row r="9">
      <c r="A9" t="inlineStr">
        <is>
          <t>DBC-NC270104A</t>
        </is>
      </c>
      <c r="B9" t="inlineStr">
        <is>
          <t>2027/01/04</t>
        </is>
      </c>
      <c r="C9" t="inlineStr">
        <is>
          <t>2026/10/08</t>
        </is>
      </c>
      <c r="D9" t="inlineStr">
        <is>
          <t>00006472</t>
        </is>
      </c>
      <c r="F9" t="inlineStr">
        <is>
          <t>旅客2</t>
        </is>
      </c>
      <c r="I9" t="inlineStr">
        <is>
          <t>60900</t>
        </is>
      </c>
    </row>
    <row r="10">
      <c r="A10" t="inlineStr">
        <is>
          <t>DBC-NC270104A</t>
        </is>
      </c>
      <c r="B10" t="inlineStr">
        <is>
          <t>2027/01/04</t>
        </is>
      </c>
      <c r="C10" t="inlineStr">
        <is>
          <t>2026/10/08</t>
        </is>
      </c>
      <c r="D10" t="inlineStr">
        <is>
          <t>00006472</t>
        </is>
      </c>
      <c r="F10" t="inlineStr">
        <is>
          <t>旅客3</t>
        </is>
      </c>
      <c r="I10" t="inlineStr">
        <is>
          <t>60900</t>
        </is>
      </c>
    </row>
    <row r="11">
      <c r="A11" t="inlineStr">
        <is>
          <t>DBC-NC270104A</t>
        </is>
      </c>
      <c r="B11" t="inlineStr">
        <is>
          <t>2027/01/04</t>
        </is>
      </c>
      <c r="C11" t="inlineStr">
        <is>
          <t>2026/10/08</t>
        </is>
      </c>
      <c r="D11" t="inlineStr">
        <is>
          <t>00006472</t>
        </is>
      </c>
      <c r="F11" t="inlineStr">
        <is>
          <t>旅客4</t>
        </is>
      </c>
      <c r="I11" t="inlineStr">
        <is>
          <t>60900</t>
        </is>
      </c>
    </row>
    <row r="12">
      <c r="A12" t="inlineStr">
        <is>
          <t>DBC-NC270104A</t>
        </is>
      </c>
      <c r="B12" t="inlineStr">
        <is>
          <t>2027/01/04</t>
        </is>
      </c>
      <c r="C12" t="inlineStr">
        <is>
          <t>2026/10/08</t>
        </is>
      </c>
      <c r="D12" t="inlineStr">
        <is>
          <t>00006472</t>
        </is>
      </c>
      <c r="F12" t="inlineStr">
        <is>
          <t>旅客5</t>
        </is>
      </c>
      <c r="I12" t="inlineStr">
        <is>
          <t>60900</t>
        </is>
      </c>
    </row>
    <row r="13">
      <c r="A13" t="inlineStr">
        <is>
          <t>DBC-NC270104A</t>
        </is>
      </c>
      <c r="B13" t="inlineStr">
        <is>
          <t>2027/01/04</t>
        </is>
      </c>
      <c r="C13" t="inlineStr">
        <is>
          <t>2026/10/08</t>
        </is>
      </c>
      <c r="D13" t="inlineStr">
        <is>
          <t>00006472</t>
        </is>
      </c>
      <c r="F13" t="inlineStr">
        <is>
          <t>旅客6</t>
        </is>
      </c>
      <c r="I13" t="inlineStr">
        <is>
          <t>60900</t>
        </is>
      </c>
    </row>
    <row r="14">
      <c r="A14" t="inlineStr">
        <is>
          <t>DBC-NC270104A</t>
        </is>
      </c>
      <c r="B14" t="inlineStr">
        <is>
          <t>2027/01/04</t>
        </is>
      </c>
      <c r="C14" t="inlineStr">
        <is>
          <t>2026/10/08</t>
        </is>
      </c>
      <c r="D14" t="inlineStr">
        <is>
          <t>00006472</t>
        </is>
      </c>
      <c r="F14" t="inlineStr">
        <is>
          <t>旅客7</t>
        </is>
      </c>
      <c r="I14" t="inlineStr">
        <is>
          <t>38000</t>
        </is>
      </c>
    </row>
    <row r="15">
      <c r="A15" t="inlineStr">
        <is>
          <t>S4-J-NC270123A</t>
        </is>
      </c>
      <c r="B15" t="inlineStr">
        <is>
          <t>2027/01/23</t>
        </is>
      </c>
      <c r="C15" t="inlineStr">
        <is>
          <t>2026/09/03</t>
        </is>
      </c>
      <c r="D15" t="inlineStr">
        <is>
          <t>00006149</t>
        </is>
      </c>
      <c r="F15" t="inlineStr">
        <is>
          <t>旅客1</t>
        </is>
      </c>
      <c r="I15" t="inlineStr">
        <is>
          <t>15600</t>
        </is>
      </c>
    </row>
    <row r="16">
      <c r="A16" t="inlineStr">
        <is>
          <t>S4-J-NC270123A</t>
        </is>
      </c>
      <c r="B16" t="inlineStr">
        <is>
          <t>2027/01/23</t>
        </is>
      </c>
      <c r="C16" t="inlineStr">
        <is>
          <t>2026/09/03</t>
        </is>
      </c>
      <c r="D16" t="inlineStr">
        <is>
          <t>00006149</t>
        </is>
      </c>
      <c r="F16" t="inlineStr">
        <is>
          <t>旅客2</t>
        </is>
      </c>
      <c r="I16" t="inlineStr">
        <is>
          <t>15600</t>
        </is>
      </c>
    </row>
    <row r="17">
      <c r="A17" t="inlineStr">
        <is>
          <t>S4-J-NC270123A</t>
        </is>
      </c>
      <c r="B17" t="inlineStr">
        <is>
          <t>2027/01/23</t>
        </is>
      </c>
      <c r="C17" t="inlineStr">
        <is>
          <t>2026/09/03</t>
        </is>
      </c>
      <c r="D17" t="inlineStr">
        <is>
          <t>00006149</t>
        </is>
      </c>
      <c r="F17" t="inlineStr">
        <is>
          <t>旅客3</t>
        </is>
      </c>
      <c r="I17" t="inlineStr">
        <is>
          <t>15600</t>
        </is>
      </c>
    </row>
    <row r="18">
      <c r="A18" t="inlineStr">
        <is>
          <t>S4-J-NC270123A</t>
        </is>
      </c>
      <c r="B18" t="inlineStr">
        <is>
          <t>2027/01/23</t>
        </is>
      </c>
      <c r="C18" t="inlineStr">
        <is>
          <t>2026/09/03</t>
        </is>
      </c>
      <c r="D18" t="inlineStr">
        <is>
          <t>00006149</t>
        </is>
      </c>
      <c r="F18" t="inlineStr">
        <is>
          <t>旅客4</t>
        </is>
      </c>
      <c r="I18" t="inlineStr">
        <is>
          <t>15600</t>
        </is>
      </c>
    </row>
    <row r="19">
      <c r="A19" t="inlineStr">
        <is>
          <t>S4-J-NC270123A</t>
        </is>
      </c>
      <c r="B19" t="inlineStr">
        <is>
          <t>2027/01/23</t>
        </is>
      </c>
      <c r="C19" t="inlineStr">
        <is>
          <t>2026/09/03</t>
        </is>
      </c>
      <c r="D19" t="inlineStr">
        <is>
          <t>00006149</t>
        </is>
      </c>
      <c r="F19" t="inlineStr">
        <is>
          <t>旅客5</t>
        </is>
      </c>
      <c r="I19" t="inlineStr">
        <is>
          <t>15600</t>
        </is>
      </c>
    </row>
    <row r="20">
      <c r="A20" t="inlineStr">
        <is>
          <t>S4-J-NC270123A</t>
        </is>
      </c>
      <c r="B20" t="inlineStr">
        <is>
          <t>2027/01/23</t>
        </is>
      </c>
      <c r="C20" t="inlineStr">
        <is>
          <t>2026/09/03</t>
        </is>
      </c>
      <c r="D20" t="inlineStr">
        <is>
          <t>00006149</t>
        </is>
      </c>
      <c r="F20" t="inlineStr">
        <is>
          <t>旅客6</t>
        </is>
      </c>
      <c r="I20" t="inlineStr">
        <is>
          <t>15600</t>
        </is>
      </c>
    </row>
    <row r="21">
      <c r="A21" t="inlineStr">
        <is>
          <t>S4-J-NC270123A</t>
        </is>
      </c>
      <c r="B21" t="inlineStr">
        <is>
          <t>2027/01/23</t>
        </is>
      </c>
      <c r="C21" t="inlineStr">
        <is>
          <t>2026/09/03</t>
        </is>
      </c>
      <c r="D21" t="inlineStr">
        <is>
          <t>00006149</t>
        </is>
      </c>
      <c r="F21" t="inlineStr">
        <is>
          <t>旅客7</t>
        </is>
      </c>
      <c r="I21" t="inlineStr">
        <is>
          <t>15600</t>
        </is>
      </c>
    </row>
    <row r="22">
      <c r="A22" t="inlineStr">
        <is>
          <t>S4-J-NC270123A</t>
        </is>
      </c>
      <c r="B22" t="inlineStr">
        <is>
          <t>2027/01/23</t>
        </is>
      </c>
      <c r="C22" t="inlineStr">
        <is>
          <t>2026/09/03</t>
        </is>
      </c>
      <c r="D22" t="inlineStr">
        <is>
          <t>00006149</t>
        </is>
      </c>
      <c r="F22" t="inlineStr">
        <is>
          <t>旅客8</t>
        </is>
      </c>
      <c r="I22" t="inlineStr">
        <is>
          <t>15600</t>
        </is>
      </c>
    </row>
    <row r="23">
      <c r="A23" t="inlineStr">
        <is>
          <t>S4-J-NC270123A</t>
        </is>
      </c>
      <c r="B23" t="inlineStr">
        <is>
          <t>2027/01/23</t>
        </is>
      </c>
      <c r="C23" t="inlineStr">
        <is>
          <t>2026/09/03</t>
        </is>
      </c>
      <c r="D23" t="inlineStr">
        <is>
          <t>00006149</t>
        </is>
      </c>
      <c r="F23" t="inlineStr">
        <is>
          <t>旅客9</t>
        </is>
      </c>
      <c r="I23" t="inlineStr">
        <is>
          <t>15600</t>
        </is>
      </c>
    </row>
    <row r="24">
      <c r="A24" t="inlineStr">
        <is>
          <t>S4-J-NC270123A</t>
        </is>
      </c>
      <c r="B24" t="inlineStr">
        <is>
          <t>2027/01/23</t>
        </is>
      </c>
      <c r="C24" t="inlineStr">
        <is>
          <t>2026/09/03</t>
        </is>
      </c>
      <c r="D24" t="inlineStr">
        <is>
          <t>00006149</t>
        </is>
      </c>
      <c r="F24" t="inlineStr">
        <is>
          <t>旅客10</t>
        </is>
      </c>
      <c r="I24" t="inlineStr">
        <is>
          <t>15600</t>
        </is>
      </c>
    </row>
    <row r="25">
      <c r="A25" t="inlineStr">
        <is>
          <t>S4-J-NC270123A</t>
        </is>
      </c>
      <c r="B25" t="inlineStr">
        <is>
          <t>2027/01/23</t>
        </is>
      </c>
      <c r="C25" t="inlineStr">
        <is>
          <t>2026/09/03</t>
        </is>
      </c>
      <c r="D25" t="inlineStr">
        <is>
          <t>00006149</t>
        </is>
      </c>
      <c r="F25" t="inlineStr">
        <is>
          <t>旅客11</t>
        </is>
      </c>
      <c r="I25" t="inlineStr">
        <is>
          <t>15600</t>
        </is>
      </c>
    </row>
    <row r="26">
      <c r="A26" t="inlineStr">
        <is>
          <t>S4-J-NC270123A</t>
        </is>
      </c>
      <c r="B26" t="inlineStr">
        <is>
          <t>2027/01/23</t>
        </is>
      </c>
      <c r="C26" t="inlineStr">
        <is>
          <t>2026/09/03</t>
        </is>
      </c>
      <c r="D26" t="inlineStr">
        <is>
          <t>00006149</t>
        </is>
      </c>
      <c r="F26" t="inlineStr">
        <is>
          <t>旅客12</t>
        </is>
      </c>
      <c r="I26" t="inlineStr">
        <is>
          <t>15600</t>
        </is>
      </c>
    </row>
    <row r="27">
      <c r="A27" t="inlineStr">
        <is>
          <t>S4-J-NC270123A</t>
        </is>
      </c>
      <c r="B27" t="inlineStr">
        <is>
          <t>2027/01/23</t>
        </is>
      </c>
      <c r="C27" t="inlineStr">
        <is>
          <t>2026/09/03</t>
        </is>
      </c>
      <c r="D27" t="inlineStr">
        <is>
          <t>00006149</t>
        </is>
      </c>
      <c r="F27" t="inlineStr">
        <is>
          <t>旅客13</t>
        </is>
      </c>
      <c r="I27" t="inlineStr">
        <is>
          <t>15600</t>
        </is>
      </c>
    </row>
    <row r="28">
      <c r="A28" t="inlineStr">
        <is>
          <t>S4-J-NC270209A</t>
        </is>
      </c>
      <c r="B28" t="inlineStr">
        <is>
          <t>2027/02/09</t>
        </is>
      </c>
      <c r="C28" t="inlineStr">
        <is>
          <t>2026/07/01</t>
        </is>
      </c>
      <c r="D28" t="inlineStr">
        <is>
          <t>00005779</t>
        </is>
      </c>
      <c r="F28" t="inlineStr">
        <is>
          <t>葉詠華</t>
        </is>
      </c>
      <c r="I28" t="inlineStr">
        <is>
          <t>25000</t>
        </is>
      </c>
    </row>
    <row r="29">
      <c r="A29" t="inlineStr">
        <is>
          <t>S4-J-NC270209A</t>
        </is>
      </c>
      <c r="B29" t="inlineStr">
        <is>
          <t>2027/02/09</t>
        </is>
      </c>
      <c r="C29" t="inlineStr">
        <is>
          <t>2026/07/01</t>
        </is>
      </c>
      <c r="D29" t="inlineStr">
        <is>
          <t>00005779</t>
        </is>
      </c>
      <c r="F29" t="inlineStr">
        <is>
          <t>謝凱靜</t>
        </is>
      </c>
      <c r="I29" t="inlineStr">
        <is>
          <t>26000</t>
        </is>
      </c>
    </row>
    <row r="30">
      <c r="A30" t="inlineStr">
        <is>
          <t>S4-J-NC270209A</t>
        </is>
      </c>
      <c r="B30" t="inlineStr">
        <is>
          <t>2027/02/09</t>
        </is>
      </c>
      <c r="C30" t="inlineStr">
        <is>
          <t>2026/07/01</t>
        </is>
      </c>
      <c r="D30" t="inlineStr">
        <is>
          <t>00005779</t>
        </is>
      </c>
      <c r="F30" t="inlineStr">
        <is>
          <t>許茜</t>
        </is>
      </c>
      <c r="I30" t="inlineStr">
        <is>
          <t>26000</t>
        </is>
      </c>
    </row>
    <row r="31">
      <c r="A31" t="inlineStr">
        <is>
          <t>S4-J-NC270209A</t>
        </is>
      </c>
      <c r="B31" t="inlineStr">
        <is>
          <t>2027/02/09</t>
        </is>
      </c>
      <c r="C31" t="inlineStr">
        <is>
          <t>2026/07/01</t>
        </is>
      </c>
      <c r="D31" t="inlineStr">
        <is>
          <t>00005779</t>
        </is>
      </c>
      <c r="F31" t="inlineStr">
        <is>
          <t>陳詩敏</t>
        </is>
      </c>
      <c r="I31" t="inlineStr">
        <is>
          <t>26000</t>
        </is>
      </c>
    </row>
    <row r="32">
      <c r="A32" t="inlineStr">
        <is>
          <t>S4-J-NC270209A</t>
        </is>
      </c>
      <c r="B32" t="inlineStr">
        <is>
          <t>2027/02/09</t>
        </is>
      </c>
      <c r="C32" t="inlineStr">
        <is>
          <t>2026/07/01</t>
        </is>
      </c>
      <c r="D32" t="inlineStr">
        <is>
          <t>00005779</t>
        </is>
      </c>
      <c r="F32" t="inlineStr">
        <is>
          <t>臧傑晧</t>
        </is>
      </c>
      <c r="I32" t="inlineStr">
        <is>
          <t>25000</t>
        </is>
      </c>
    </row>
    <row r="33">
      <c r="A33" t="inlineStr">
        <is>
          <t>S4-J-NC270209A</t>
        </is>
      </c>
      <c r="B33" t="inlineStr">
        <is>
          <t>2027/02/09</t>
        </is>
      </c>
      <c r="C33" t="inlineStr">
        <is>
          <t>2026/07/01</t>
        </is>
      </c>
      <c r="D33" t="inlineStr">
        <is>
          <t>00005779</t>
        </is>
      </c>
      <c r="F33" t="inlineStr">
        <is>
          <t>謝明志</t>
        </is>
      </c>
      <c r="I33" t="inlineStr">
        <is>
          <t>25000</t>
        </is>
      </c>
    </row>
    <row r="34">
      <c r="A34" t="inlineStr">
        <is>
          <t>S4-J-NC270209A</t>
        </is>
      </c>
      <c r="B34" t="inlineStr">
        <is>
          <t>2027/02/09</t>
        </is>
      </c>
      <c r="C34" t="inlineStr">
        <is>
          <t>2026/07/01</t>
        </is>
      </c>
      <c r="D34" t="inlineStr">
        <is>
          <t>00005779</t>
        </is>
      </c>
      <c r="F34" t="inlineStr">
        <is>
          <t>殷宜汶</t>
        </is>
      </c>
      <c r="I34" t="inlineStr">
        <is>
          <t>26000</t>
        </is>
      </c>
    </row>
    <row r="35">
      <c r="A35" t="inlineStr">
        <is>
          <t>S4-J-NC270209A</t>
        </is>
      </c>
      <c r="B35" t="inlineStr">
        <is>
          <t>2027/02/09</t>
        </is>
      </c>
      <c r="C35" t="inlineStr">
        <is>
          <t>2026/07/01</t>
        </is>
      </c>
      <c r="D35" t="inlineStr">
        <is>
          <t>00005779</t>
        </is>
      </c>
      <c r="F35" t="inlineStr">
        <is>
          <t>蘇修平</t>
        </is>
      </c>
      <c r="I35" t="inlineStr">
        <is>
          <t>25000</t>
        </is>
      </c>
    </row>
    <row r="36">
      <c r="A36" t="inlineStr">
        <is>
          <t>S4-J-NC270209A</t>
        </is>
      </c>
      <c r="B36" t="inlineStr">
        <is>
          <t>2027/02/09</t>
        </is>
      </c>
      <c r="C36" t="inlineStr">
        <is>
          <t>2026/07/01</t>
        </is>
      </c>
      <c r="D36" t="inlineStr">
        <is>
          <t>00005779</t>
        </is>
      </c>
      <c r="F36" t="inlineStr">
        <is>
          <t>陳孝綸</t>
        </is>
      </c>
      <c r="I36" t="inlineStr">
        <is>
          <t>25000</t>
        </is>
      </c>
    </row>
    <row r="37">
      <c r="A37" t="inlineStr">
        <is>
          <t>S4-J-NC270209A</t>
        </is>
      </c>
      <c r="B37" t="inlineStr">
        <is>
          <t>2027/02/09</t>
        </is>
      </c>
      <c r="C37" t="inlineStr">
        <is>
          <t>2026/07/01</t>
        </is>
      </c>
      <c r="D37" t="inlineStr">
        <is>
          <t>00005779</t>
        </is>
      </c>
      <c r="F37" t="inlineStr">
        <is>
          <t>1</t>
        </is>
      </c>
      <c r="I37" t="inlineStr">
        <is>
          <t>26000</t>
        </is>
      </c>
    </row>
    <row r="38">
      <c r="A38" t="inlineStr">
        <is>
          <t>S4-J-NC270209A</t>
        </is>
      </c>
      <c r="B38" t="inlineStr">
        <is>
          <t>2027/02/09</t>
        </is>
      </c>
      <c r="C38" t="inlineStr">
        <is>
          <t>2026/07/01</t>
        </is>
      </c>
      <c r="D38" t="inlineStr">
        <is>
          <t>00005779</t>
        </is>
      </c>
      <c r="F38" t="inlineStr">
        <is>
          <t>2</t>
        </is>
      </c>
      <c r="I38" t="inlineStr">
        <is>
          <t>26000</t>
        </is>
      </c>
    </row>
    <row r="39">
      <c r="A39" t="inlineStr">
        <is>
          <t>S4-J-NC270209A</t>
        </is>
      </c>
      <c r="B39" t="inlineStr">
        <is>
          <t>2027/02/09</t>
        </is>
      </c>
      <c r="C39" t="inlineStr">
        <is>
          <t>2026/07/01</t>
        </is>
      </c>
      <c r="D39" t="inlineStr">
        <is>
          <t>00005779</t>
        </is>
      </c>
      <c r="F39" t="inlineStr">
        <is>
          <t>3</t>
        </is>
      </c>
      <c r="I39" t="inlineStr">
        <is>
          <t>26000</t>
        </is>
      </c>
    </row>
    <row r="40">
      <c r="A40" t="inlineStr">
        <is>
          <t>S4-J-NC270209A</t>
        </is>
      </c>
      <c r="B40" t="inlineStr">
        <is>
          <t>2027/02/09</t>
        </is>
      </c>
      <c r="C40" t="inlineStr">
        <is>
          <t>2026/07/01</t>
        </is>
      </c>
      <c r="D40" t="inlineStr">
        <is>
          <t>00005779</t>
        </is>
      </c>
      <c r="F40" t="inlineStr">
        <is>
          <t>4</t>
        </is>
      </c>
      <c r="I40" t="inlineStr">
        <is>
          <t>26000</t>
        </is>
      </c>
    </row>
    <row r="41">
      <c r="A41" t="inlineStr">
        <is>
          <t>S4-J-NC270209A</t>
        </is>
      </c>
      <c r="B41" t="inlineStr">
        <is>
          <t>2027/02/09</t>
        </is>
      </c>
      <c r="C41" t="inlineStr">
        <is>
          <t>2026/07/01</t>
        </is>
      </c>
      <c r="D41" t="inlineStr">
        <is>
          <t>00005779</t>
        </is>
      </c>
      <c r="F41" t="inlineStr">
        <is>
          <t>5</t>
        </is>
      </c>
      <c r="I41" t="inlineStr">
        <is>
          <t>25000</t>
        </is>
      </c>
    </row>
    <row r="42">
      <c r="A42" t="inlineStr">
        <is>
          <t>S4-J-NC270209A</t>
        </is>
      </c>
      <c r="B42" t="inlineStr">
        <is>
          <t>2027/02/09</t>
        </is>
      </c>
      <c r="C42" t="inlineStr">
        <is>
          <t>2026/07/01</t>
        </is>
      </c>
      <c r="D42" t="inlineStr">
        <is>
          <t>00005779</t>
        </is>
      </c>
      <c r="F42" t="inlineStr">
        <is>
          <t>6</t>
        </is>
      </c>
      <c r="I42" t="inlineStr">
        <is>
          <t>25000</t>
        </is>
      </c>
    </row>
    <row r="43">
      <c r="A43" t="inlineStr">
        <is>
          <t>S4-J-NC270209A</t>
        </is>
      </c>
      <c r="B43" t="inlineStr">
        <is>
          <t>2027/02/09</t>
        </is>
      </c>
      <c r="C43" t="inlineStr">
        <is>
          <t>2026/07/01</t>
        </is>
      </c>
      <c r="D43" t="inlineStr">
        <is>
          <t>00005779</t>
        </is>
      </c>
      <c r="F43" t="inlineStr">
        <is>
          <t>7</t>
        </is>
      </c>
      <c r="I43" t="inlineStr">
        <is>
          <t>25000</t>
        </is>
      </c>
    </row>
    <row r="44">
      <c r="A44" t="inlineStr">
        <is>
          <t>S4-J-NC270209A</t>
        </is>
      </c>
      <c r="B44" t="inlineStr">
        <is>
          <t>2027/02/09</t>
        </is>
      </c>
      <c r="C44" t="inlineStr">
        <is>
          <t>2026/07/01</t>
        </is>
      </c>
      <c r="D44" t="inlineStr">
        <is>
          <t>00005779</t>
        </is>
      </c>
      <c r="F44" t="inlineStr">
        <is>
          <t>8</t>
        </is>
      </c>
      <c r="I44" t="inlineStr">
        <is>
          <t>25000</t>
        </is>
      </c>
    </row>
    <row r="45">
      <c r="A45" t="inlineStr">
        <is>
          <t>S4-J-NC270209A</t>
        </is>
      </c>
      <c r="B45" t="inlineStr">
        <is>
          <t>2027/02/09</t>
        </is>
      </c>
      <c r="C45" t="inlineStr">
        <is>
          <t>2026/07/01</t>
        </is>
      </c>
      <c r="D45" t="inlineStr">
        <is>
          <t>00005779</t>
        </is>
      </c>
      <c r="F45" t="inlineStr">
        <is>
          <t>9</t>
        </is>
      </c>
      <c r="I45" t="inlineStr">
        <is>
          <t>25000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2026-10-16T07:33:16Z</dcterms:created>
  <dcterms:modified xsi:type="dcterms:W3CDTF">2026-10-16T07:33:16Z</dcterms:modified>
</cp:coreProperties>
</file>